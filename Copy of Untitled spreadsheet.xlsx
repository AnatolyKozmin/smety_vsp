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мета_Заброс" sheetId="1" r:id="rId5"/>
    <sheet state="visible" name="Кто ест" sheetId="2" r:id="rId6"/>
    <sheet state="visible" name="База блюд" sheetId="3" r:id="rId7"/>
    <sheet state="visible" name="Смета_Заброс 30-31 мая" sheetId="4" r:id="rId8"/>
    <sheet state="visible" name="Взносы" sheetId="5" r:id="rId9"/>
  </sheets>
  <definedNames/>
  <calcPr/>
</workbook>
</file>

<file path=xl/sharedStrings.xml><?xml version="1.0" encoding="utf-8"?>
<sst xmlns="http://schemas.openxmlformats.org/spreadsheetml/2006/main" count="548" uniqueCount="190">
  <si>
    <t>Продукт</t>
  </si>
  <si>
    <t>1 порция, г</t>
  </si>
  <si>
    <t>Всего, г</t>
  </si>
  <si>
    <t>Ед. измерения</t>
  </si>
  <si>
    <t>Грамм в 1 упаковке</t>
  </si>
  <si>
    <t>Ссылка на продукт</t>
  </si>
  <si>
    <t>Рублей за ед.</t>
  </si>
  <si>
    <t>Сколько надо взять</t>
  </si>
  <si>
    <t>ИТОГ ЦЕНА</t>
  </si>
  <si>
    <t>Взяли?</t>
  </si>
  <si>
    <t>Кол-во людей</t>
  </si>
  <si>
    <t>Планируется</t>
  </si>
  <si>
    <t>Фактически скинуло</t>
  </si>
  <si>
    <t>БЕЗ наценки</t>
  </si>
  <si>
    <t>С наценкой</t>
  </si>
  <si>
    <t>Собиралось</t>
  </si>
  <si>
    <t>ДЕНЬ 1
(СУББОТА)</t>
  </si>
  <si>
    <t>ОБЕД</t>
  </si>
  <si>
    <t>Название блюда 1</t>
  </si>
  <si>
    <t>СБ</t>
  </si>
  <si>
    <t>Томатная паста</t>
  </si>
  <si>
    <t>банок</t>
  </si>
  <si>
    <t xml:space="preserve">Картофель </t>
  </si>
  <si>
    <t>г.</t>
  </si>
  <si>
    <t>ВС</t>
  </si>
  <si>
    <t xml:space="preserve">Лук </t>
  </si>
  <si>
    <t>Название блюда 2</t>
  </si>
  <si>
    <t>РАЗНОЕ</t>
  </si>
  <si>
    <t>Ингредиент 1</t>
  </si>
  <si>
    <t>ВСЕГО / НАЦЕНКА</t>
  </si>
  <si>
    <t>Ингредиент 2</t>
  </si>
  <si>
    <t>СОБРАТЬ ПЛАН</t>
  </si>
  <si>
    <t>УЖИН</t>
  </si>
  <si>
    <t>Название блюда 3</t>
  </si>
  <si>
    <t>СОБРАНО ФАКТ</t>
  </si>
  <si>
    <t>ПОТРАЧЕНО</t>
  </si>
  <si>
    <t>ОСТАТОК</t>
  </si>
  <si>
    <t>Ингредиент 3</t>
  </si>
  <si>
    <t>ДЕНЬ 2
(ВОСКРЕСЕНЬЕ)</t>
  </si>
  <si>
    <t>ЗАВТРАК</t>
  </si>
  <si>
    <t>Название блюда 4</t>
  </si>
  <si>
    <t>Название блюда 5</t>
  </si>
  <si>
    <t>Масло подсолнечное</t>
  </si>
  <si>
    <t>Соль</t>
  </si>
  <si>
    <t>Сахар</t>
  </si>
  <si>
    <t>Чай</t>
  </si>
  <si>
    <t>Хлеб</t>
  </si>
  <si>
    <t>Специи</t>
  </si>
  <si>
    <t>Мусорные мешки</t>
  </si>
  <si>
    <t>Розжиг</t>
  </si>
  <si>
    <t>Вода</t>
  </si>
  <si>
    <t>Моющее средство</t>
  </si>
  <si>
    <t>Губки</t>
  </si>
  <si>
    <t>Влажные салфетки</t>
  </si>
  <si>
    <t>Сумма по разному:</t>
  </si>
  <si>
    <t>Роль</t>
  </si>
  <si>
    <t>Фамилия Имя Отчество</t>
  </si>
  <si>
    <t>Состояние</t>
  </si>
  <si>
    <t>ОБЕД
 День 1</t>
  </si>
  <si>
    <t>УЖИН
 День 1</t>
  </si>
  <si>
    <t>ЗАВТРАК
 День 2</t>
  </si>
  <si>
    <t>ОБЕД
 День 2</t>
  </si>
  <si>
    <t>Комментарий</t>
  </si>
  <si>
    <t>Оргком</t>
  </si>
  <si>
    <t>Кудеэменов Магомед Маратович</t>
  </si>
  <si>
    <t>Был</t>
  </si>
  <si>
    <t>Лавров Илья Дмитриевич</t>
  </si>
  <si>
    <t>Михов Сергей Владимирович</t>
  </si>
  <si>
    <t>Кровяков Кирилл Александрович</t>
  </si>
  <si>
    <t>Руцкая Анастасия Евгеньевна</t>
  </si>
  <si>
    <t>Царькова Мария Сергеевна</t>
  </si>
  <si>
    <t>Дорофеева Лидия Витальевна</t>
  </si>
  <si>
    <t>Ковалев Георгий Константинович</t>
  </si>
  <si>
    <t>СГ</t>
  </si>
  <si>
    <t>Сыроватка Екатерина Алексеевна</t>
  </si>
  <si>
    <t>Медведева Екатерина Сергеевна</t>
  </si>
  <si>
    <t>Ульянцева Анастасия Михайловна</t>
  </si>
  <si>
    <t>Косталындина Надежда Васильевна</t>
  </si>
  <si>
    <t>Николаева Мария Романовна</t>
  </si>
  <si>
    <t>Пензина Юлия Константиновна</t>
  </si>
  <si>
    <t>Родионова Лилия Сергеевна</t>
  </si>
  <si>
    <t>Александрова Анастасия Сергеевна</t>
  </si>
  <si>
    <t>Терещенко Екатерина Вадимовна</t>
  </si>
  <si>
    <t>Кизяева Катерина Борисовна</t>
  </si>
  <si>
    <t>Сивец Екатерина Андреевна</t>
  </si>
  <si>
    <t>Чуракова Варвара Степановна</t>
  </si>
  <si>
    <t>Хафизова Милана Ильфатовна</t>
  </si>
  <si>
    <t>Мельник Полина Сергеевна</t>
  </si>
  <si>
    <t>Баазан Байныс Саяновна</t>
  </si>
  <si>
    <t>ГОИ</t>
  </si>
  <si>
    <t>Брага Николай Валентинович</t>
  </si>
  <si>
    <t>Денисов Анатолий Антонович</t>
  </si>
  <si>
    <t>Китаев Матвей Максимович</t>
  </si>
  <si>
    <t>Кравченко Егор Игоревич</t>
  </si>
  <si>
    <t>Липовка Илья Сергеевич</t>
  </si>
  <si>
    <t>Магомедов Руслан Магомедович</t>
  </si>
  <si>
    <t>Малых Владислав Александрович</t>
  </si>
  <si>
    <t>Рогацевич Григорий Андреевич</t>
  </si>
  <si>
    <t>Степченко Артём Викторович</t>
  </si>
  <si>
    <t>Тележкин Никита Алексеевич</t>
  </si>
  <si>
    <t>Хоцин Никита Александрович</t>
  </si>
  <si>
    <t>Шайдуллин Арсений Петрович</t>
  </si>
  <si>
    <t>Шамайко Данила Денисович</t>
  </si>
  <si>
    <t>Шкель Антон Алексеевич</t>
  </si>
  <si>
    <t>Штанько Михаил Максимович</t>
  </si>
  <si>
    <t>Помощник</t>
  </si>
  <si>
    <t>Зайцева Евгения Петровна</t>
  </si>
  <si>
    <t>Березина Александра Сергеевна</t>
  </si>
  <si>
    <t>Сахипова Карина Ринатовна</t>
  </si>
  <si>
    <t>Тех группа</t>
  </si>
  <si>
    <t>Козьмин Анатолий Владиславович</t>
  </si>
  <si>
    <t>Любо Юрий Дмитриевич</t>
  </si>
  <si>
    <t>Баранов Владимир Алексеевич</t>
  </si>
  <si>
    <t>Копишинский Алексей Юрьевич</t>
  </si>
  <si>
    <t>Ярцев Егор Витальевич</t>
  </si>
  <si>
    <t>Папков Никита Михайлович</t>
  </si>
  <si>
    <t>Кухня</t>
  </si>
  <si>
    <t>Меновщикова Полина Дмитриевна</t>
  </si>
  <si>
    <t>Руссу Александр Дмитриевич</t>
  </si>
  <si>
    <t>Гуськова Софья Игоревна</t>
  </si>
  <si>
    <t>Давыдова Екатерина Андреевна</t>
  </si>
  <si>
    <t>Суханова Ярослава Андреевна</t>
  </si>
  <si>
    <t>Кавалерская Альбина</t>
  </si>
  <si>
    <t>Фестиваль</t>
  </si>
  <si>
    <t>Сапожкова Диана Сергеевна</t>
  </si>
  <si>
    <t>Рахманинова Ангелина Сергеевна</t>
  </si>
  <si>
    <t>Яковлева Ангелина</t>
  </si>
  <si>
    <t>Кирилюк Илья Алексеевич</t>
  </si>
  <si>
    <t>Панов Николай Евгеньевич</t>
  </si>
  <si>
    <t>Махойдина Дарья Дмитриевна</t>
  </si>
  <si>
    <t>Глушак Виктория Валентиновна</t>
  </si>
  <si>
    <t>Чиркунова Юлия Максимовна</t>
  </si>
  <si>
    <t>Рязанцева Софья Георгиевна</t>
  </si>
  <si>
    <t>Христофоров Тимофей Михайлович</t>
  </si>
  <si>
    <t>Кузнецова Анна Сергеевна</t>
  </si>
  <si>
    <t>Преображенская Мария Валерьевна</t>
  </si>
  <si>
    <t>Дизайн</t>
  </si>
  <si>
    <t>Кислякова Александра Николаевна</t>
  </si>
  <si>
    <t>Галимуллина Лада Руслановна</t>
  </si>
  <si>
    <t>Криницына Диана Алексеевна</t>
  </si>
  <si>
    <t>Рахматуллина Екатерина Радиковна</t>
  </si>
  <si>
    <t>Бочарова Варвара Александровна</t>
  </si>
  <si>
    <t>Чернышкова Елизавета Александровна</t>
  </si>
  <si>
    <t>Шошина Кристина Викторовна</t>
  </si>
  <si>
    <t>Онлайн-контент</t>
  </si>
  <si>
    <t>Шевченко Игорь Эдуардович</t>
  </si>
  <si>
    <t>Баукина Варвара Васильевна</t>
  </si>
  <si>
    <t>Казакевич Мария Александровна</t>
  </si>
  <si>
    <t>Каппушев Ислам Алиевич</t>
  </si>
  <si>
    <t>Сивкова Валентина Алексеевна</t>
  </si>
  <si>
    <t>Зарубина Диана Евгеньевна</t>
  </si>
  <si>
    <t>Краснокутская Таисия Андреевна</t>
  </si>
  <si>
    <t>Беляева Дарья Сергеевна</t>
  </si>
  <si>
    <t>Серегина Анна Андреевна</t>
  </si>
  <si>
    <t>Офлайн-контент</t>
  </si>
  <si>
    <t>Орлова Мария Евгеньевна</t>
  </si>
  <si>
    <t>Столяров Евгений Романович</t>
  </si>
  <si>
    <t>Наумов Александр Сергеевич</t>
  </si>
  <si>
    <t>Люльчак Артем Сергеевич</t>
  </si>
  <si>
    <t>Воронов Михаил Романович</t>
  </si>
  <si>
    <t>Рябиш Виктория Артуровна</t>
  </si>
  <si>
    <t>Снеговая Наталья Игоревна</t>
  </si>
  <si>
    <t>Шевченко Арина Ильинична</t>
  </si>
  <si>
    <t>Сидоркина Елизавета Фёдоровна</t>
  </si>
  <si>
    <t>Воронова Анастасия Германовна</t>
  </si>
  <si>
    <t>Колиберденко Ольга Юрьевна</t>
  </si>
  <si>
    <t>ИТОГО</t>
  </si>
  <si>
    <t>Блюдо</t>
  </si>
  <si>
    <t>Ингредиент</t>
  </si>
  <si>
    <t>г на порцию</t>
  </si>
  <si>
    <t>Ед. изм.</t>
  </si>
  <si>
    <t>г в упаковке</t>
  </si>
  <si>
    <t>Цена за ед.</t>
  </si>
  <si>
    <t>Суп вермишелевый</t>
  </si>
  <si>
    <t>Куриное филе</t>
  </si>
  <si>
    <t>Вермишель</t>
  </si>
  <si>
    <t>пачка</t>
  </si>
  <si>
    <t>Лук</t>
  </si>
  <si>
    <t>Морковь</t>
  </si>
  <si>
    <t>Картофель</t>
  </si>
  <si>
    <t>Гречка с тушенкой</t>
  </si>
  <si>
    <t>Гречка</t>
  </si>
  <si>
    <t>Говядина туш.</t>
  </si>
  <si>
    <t>💰 РАСЧЁТ ВЗНОСОВ</t>
  </si>
  <si>
    <t>Рассчитано: 16.05.2026, 00:55:37</t>
  </si>
  <si>
    <t>Имя</t>
  </si>
  <si>
    <t>Взнос ₽</t>
  </si>
  <si>
    <t>Статус</t>
  </si>
  <si>
    <t>—</t>
  </si>
  <si>
    <t>ИТОГО: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</si>
</sst>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[$ ₽]"/>
  </numFmts>
  <fonts count="16">
    <font>
      <sz val="11.0"/>
      <color theme="1"/>
      <name val="Calibri"/>
      <scheme val="minor"/>
    </font>
    <font>
      <b/>
      <sz val="10.0"/>
      <color rgb="FF000000"/>
      <name val="Calibri"/>
      <scheme val="minor"/>
    </font>
    <font>
      <b/>
      <sz val="9.0"/>
      <color rgb="FF000000"/>
      <name val="Calibri"/>
      <scheme val="minor"/>
    </font>
    <font>
      <sz val="11.0"/>
      <color theme="1"/>
      <name val="Calibri"/>
    </font>
    <font/>
    <font>
      <color theme="1"/>
      <name val="Montserrat"/>
    </font>
    <font>
      <color theme="1"/>
      <name val="Arial"/>
    </font>
    <font>
      <b/>
      <sz val="11.0"/>
      <color rgb="FF000000"/>
      <name val="Calibri"/>
      <scheme val="minor"/>
    </font>
    <font>
      <b/>
      <color rgb="FFFFFFFF"/>
      <name val="Calibri"/>
    </font>
    <font>
      <b/>
      <color theme="1"/>
      <name val="Calibri"/>
    </font>
    <font>
      <color theme="1"/>
      <name val="Calibri"/>
    </font>
    <font>
      <sz val="11.0"/>
      <color rgb="FF000000"/>
      <name val="Calibri"/>
    </font>
    <font>
      <b/>
      <sz val="14.0"/>
      <color theme="1"/>
      <name val="Calibri"/>
      <scheme val="minor"/>
    </font>
    <font>
      <color rgb="FF888888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434343"/>
        <bgColor rgb="FF43434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E2EFDA"/>
        <bgColor rgb="FFE2EFDA"/>
      </patternFill>
    </fill>
    <fill>
      <patternFill patternType="solid">
        <fgColor rgb="FFFFE0CC"/>
        <bgColor rgb="FFFFE0CC"/>
      </patternFill>
    </fill>
    <fill>
      <patternFill patternType="solid">
        <fgColor rgb="FFC9DAF8"/>
        <bgColor rgb="FFC9DAF8"/>
      </patternFill>
    </fill>
  </fills>
  <borders count="9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left" shrinkToFit="0" vertical="center" wrapText="1"/>
    </xf>
    <xf borderId="1" fillId="5" fontId="3" numFmtId="0" xfId="0" applyBorder="1" applyFont="1"/>
    <xf borderId="1" fillId="3" fontId="1" numFmtId="0" xfId="0" applyAlignment="1" applyBorder="1" applyFont="1">
      <alignment horizontal="left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7" fontId="5" numFmtId="0" xfId="0" applyAlignment="1" applyBorder="1" applyFill="1" applyFont="1">
      <alignment horizontal="center" shrinkToFit="0" vertical="bottom" wrapText="1"/>
    </xf>
    <xf borderId="5" fillId="0" fontId="5" numFmtId="0" xfId="0" applyAlignment="1" applyBorder="1" applyFont="1">
      <alignment shrinkToFit="0" vertical="bottom" wrapText="1"/>
    </xf>
    <xf borderId="5" fillId="0" fontId="5" numFmtId="0" xfId="0" applyAlignment="1" applyBorder="1" applyFont="1">
      <alignment horizontal="center" shrinkToFit="0" wrapText="1"/>
    </xf>
    <xf borderId="5" fillId="0" fontId="6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center" shrinkToFit="0" vertical="bottom" wrapText="1"/>
    </xf>
    <xf borderId="1" fillId="6" fontId="3" numFmtId="0" xfId="0" applyAlignment="1" applyBorder="1" applyFont="1">
      <alignment horizontal="left" shrinkToFit="0" vertical="center" wrapText="1"/>
    </xf>
    <xf borderId="6" fillId="0" fontId="4" numFmtId="0" xfId="0" applyBorder="1" applyFont="1"/>
    <xf borderId="7" fillId="8" fontId="7" numFmtId="0" xfId="0" applyAlignment="1" applyBorder="1" applyFill="1" applyFont="1">
      <alignment horizontal="center" shrinkToFit="0" vertical="center" wrapText="1"/>
    </xf>
    <xf borderId="8" fillId="0" fontId="4" numFmtId="0" xfId="0" applyBorder="1" applyFont="1"/>
    <xf borderId="1" fillId="8" fontId="3" numFmtId="0" xfId="0" applyBorder="1" applyFont="1"/>
    <xf borderId="1" fillId="6" fontId="3" numFmtId="0" xfId="0" applyBorder="1" applyFont="1"/>
    <xf borderId="1" fillId="8" fontId="1" numFmtId="0" xfId="0" applyBorder="1" applyFont="1"/>
    <xf borderId="0" fillId="9" fontId="8" numFmtId="0" xfId="0" applyAlignment="1" applyFill="1" applyFont="1">
      <alignment horizontal="center" readingOrder="0"/>
    </xf>
    <xf borderId="0" fillId="4" fontId="9" numFmtId="0" xfId="0" applyAlignment="1" applyFont="1">
      <alignment horizontal="center" readingOrder="0"/>
    </xf>
    <xf borderId="0" fillId="4" fontId="10" numFmtId="0" xfId="0" applyAlignment="1" applyFont="1">
      <alignment horizontal="left" readingOrder="0" shrinkToFit="0" wrapText="0"/>
    </xf>
    <xf borderId="0" fillId="4" fontId="10" numFmtId="0" xfId="0" applyAlignment="1" applyFont="1">
      <alignment horizontal="center" readingOrder="0" shrinkToFit="0" wrapText="0"/>
    </xf>
    <xf borderId="0" fillId="4" fontId="10" numFmtId="0" xfId="0" applyAlignment="1" applyFont="1">
      <alignment horizontal="center" shrinkToFit="0" wrapText="0"/>
    </xf>
    <xf borderId="0" fillId="4" fontId="10" numFmtId="0" xfId="0" applyAlignment="1" applyFont="1">
      <alignment horizontal="center" shrinkToFit="0" wrapText="0"/>
    </xf>
    <xf borderId="0" fillId="5" fontId="9" numFmtId="0" xfId="0" applyAlignment="1" applyFont="1">
      <alignment horizontal="center" readingOrder="0"/>
    </xf>
    <xf borderId="0" fillId="5" fontId="10" numFmtId="0" xfId="0" applyAlignment="1" applyFont="1">
      <alignment horizontal="left" readingOrder="0" shrinkToFit="0" wrapText="0"/>
    </xf>
    <xf borderId="0" fillId="5" fontId="10" numFmtId="0" xfId="0" applyAlignment="1" applyFont="1">
      <alignment horizontal="center" readingOrder="0" shrinkToFit="0" wrapText="0"/>
    </xf>
    <xf borderId="0" fillId="5" fontId="10" numFmtId="0" xfId="0" applyAlignment="1" applyFont="1">
      <alignment horizontal="center" shrinkToFit="0" wrapText="0"/>
    </xf>
    <xf borderId="0" fillId="8" fontId="9" numFmtId="0" xfId="0" applyAlignment="1" applyFont="1">
      <alignment horizontal="center" readingOrder="0"/>
    </xf>
    <xf borderId="0" fillId="8" fontId="10" numFmtId="0" xfId="0" applyAlignment="1" applyFont="1">
      <alignment horizontal="left" readingOrder="0" shrinkToFit="0" wrapText="0"/>
    </xf>
    <xf borderId="0" fillId="8" fontId="10" numFmtId="0" xfId="0" applyAlignment="1" applyFont="1">
      <alignment horizontal="center" readingOrder="0" shrinkToFit="0" wrapText="0"/>
    </xf>
    <xf borderId="0" fillId="8" fontId="10" numFmtId="0" xfId="0" applyAlignment="1" applyFont="1">
      <alignment horizontal="center" shrinkToFit="0" wrapText="0"/>
    </xf>
    <xf borderId="0" fillId="10" fontId="9" numFmtId="0" xfId="0" applyAlignment="1" applyFill="1" applyFont="1">
      <alignment horizontal="center" readingOrder="0"/>
    </xf>
    <xf borderId="0" fillId="10" fontId="10" numFmtId="0" xfId="0" applyAlignment="1" applyFont="1">
      <alignment horizontal="left" readingOrder="0" shrinkToFit="0" wrapText="0"/>
    </xf>
    <xf borderId="0" fillId="10" fontId="10" numFmtId="0" xfId="0" applyAlignment="1" applyFont="1">
      <alignment horizontal="center" readingOrder="0" shrinkToFit="0" wrapText="0"/>
    </xf>
    <xf borderId="0" fillId="10" fontId="10" numFmtId="0" xfId="0" applyAlignment="1" applyFont="1">
      <alignment horizontal="center" shrinkToFit="0" wrapText="0"/>
    </xf>
    <xf borderId="0" fillId="11" fontId="9" numFmtId="0" xfId="0" applyAlignment="1" applyFill="1" applyFont="1">
      <alignment horizontal="center" readingOrder="0"/>
    </xf>
    <xf borderId="0" fillId="11" fontId="10" numFmtId="0" xfId="0" applyAlignment="1" applyFont="1">
      <alignment horizontal="left" readingOrder="0" shrinkToFit="0" wrapText="0"/>
    </xf>
    <xf borderId="0" fillId="11" fontId="10" numFmtId="0" xfId="0" applyAlignment="1" applyFont="1">
      <alignment horizontal="center" readingOrder="0" shrinkToFit="0" wrapText="0"/>
    </xf>
    <xf borderId="0" fillId="11" fontId="10" numFmtId="0" xfId="0" applyAlignment="1" applyFont="1">
      <alignment horizontal="center" shrinkToFit="0" wrapText="0"/>
    </xf>
    <xf borderId="0" fillId="3" fontId="9" numFmtId="0" xfId="0" applyAlignment="1" applyFont="1">
      <alignment horizontal="center" readingOrder="0"/>
    </xf>
    <xf borderId="0" fillId="3" fontId="10" numFmtId="0" xfId="0" applyAlignment="1" applyFont="1">
      <alignment horizontal="left" readingOrder="0" shrinkToFit="0" wrapText="0"/>
    </xf>
    <xf borderId="0" fillId="3" fontId="10" numFmtId="0" xfId="0" applyAlignment="1" applyFont="1">
      <alignment horizontal="center" readingOrder="0" shrinkToFit="0" wrapText="0"/>
    </xf>
    <xf borderId="0" fillId="3" fontId="10" numFmtId="0" xfId="0" applyAlignment="1" applyFont="1">
      <alignment horizontal="center" shrinkToFit="0" wrapText="0"/>
    </xf>
    <xf borderId="0" fillId="12" fontId="9" numFmtId="0" xfId="0" applyAlignment="1" applyFill="1" applyFont="1">
      <alignment horizontal="center" readingOrder="0"/>
    </xf>
    <xf borderId="0" fillId="12" fontId="10" numFmtId="0" xfId="0" applyAlignment="1" applyFont="1">
      <alignment horizontal="left" readingOrder="0" shrinkToFit="0" wrapText="0"/>
    </xf>
    <xf borderId="0" fillId="12" fontId="10" numFmtId="0" xfId="0" applyAlignment="1" applyFont="1">
      <alignment horizontal="center" readingOrder="0" shrinkToFit="0" wrapText="0"/>
    </xf>
    <xf borderId="0" fillId="12" fontId="10" numFmtId="0" xfId="0" applyAlignment="1" applyFont="1">
      <alignment horizontal="center" shrinkToFit="0" wrapText="0"/>
    </xf>
    <xf borderId="0" fillId="13" fontId="9" numFmtId="0" xfId="0" applyAlignment="1" applyFill="1" applyFont="1">
      <alignment horizontal="center" readingOrder="0"/>
    </xf>
    <xf borderId="0" fillId="13" fontId="10" numFmtId="0" xfId="0" applyAlignment="1" applyFont="1">
      <alignment horizontal="left" readingOrder="0" shrinkToFit="0" wrapText="0"/>
    </xf>
    <xf borderId="0" fillId="13" fontId="10" numFmtId="0" xfId="0" applyAlignment="1" applyFont="1">
      <alignment horizontal="center" readingOrder="0" shrinkToFit="0" wrapText="0"/>
    </xf>
    <xf borderId="0" fillId="13" fontId="10" numFmtId="0" xfId="0" applyAlignment="1" applyFont="1">
      <alignment horizontal="center" shrinkToFit="0" wrapText="0"/>
    </xf>
    <xf borderId="0" fillId="14" fontId="9" numFmtId="0" xfId="0" applyAlignment="1" applyFill="1" applyFont="1">
      <alignment horizontal="center" readingOrder="0"/>
    </xf>
    <xf borderId="0" fillId="14" fontId="10" numFmtId="0" xfId="0" applyAlignment="1" applyFont="1">
      <alignment horizontal="left" readingOrder="0" shrinkToFit="0" wrapText="0"/>
    </xf>
    <xf borderId="0" fillId="14" fontId="10" numFmtId="0" xfId="0" applyAlignment="1" applyFont="1">
      <alignment horizontal="center" readingOrder="0" shrinkToFit="0" wrapText="0"/>
    </xf>
    <xf borderId="0" fillId="14" fontId="10" numFmtId="0" xfId="0" applyAlignment="1" applyFont="1">
      <alignment horizontal="center" shrinkToFit="0" wrapText="0"/>
    </xf>
    <xf borderId="0" fillId="15" fontId="9" numFmtId="0" xfId="0" applyAlignment="1" applyFill="1" applyFont="1">
      <alignment horizontal="center" readingOrder="0"/>
    </xf>
    <xf borderId="0" fillId="15" fontId="10" numFmtId="0" xfId="0" applyAlignment="1" applyFont="1">
      <alignment horizontal="left" readingOrder="0" shrinkToFit="0" wrapText="0"/>
    </xf>
    <xf borderId="0" fillId="15" fontId="10" numFmtId="0" xfId="0" applyAlignment="1" applyFont="1">
      <alignment horizontal="center" readingOrder="0" shrinkToFit="0" wrapText="0"/>
    </xf>
    <xf borderId="0" fillId="15" fontId="10" numFmtId="0" xfId="0" applyAlignment="1" applyFont="1">
      <alignment horizontal="center" shrinkToFit="0" wrapText="0"/>
    </xf>
    <xf borderId="0" fillId="2" fontId="9" numFmtId="0" xfId="0" applyAlignment="1" applyFont="1">
      <alignment readingOrder="0" shrinkToFit="0" vertical="bottom" wrapText="0"/>
    </xf>
    <xf borderId="0" fillId="2" fontId="11" numFmtId="0" xfId="0" applyAlignment="1" applyFont="1">
      <alignment shrinkToFit="0" vertical="bottom" wrapText="0"/>
    </xf>
    <xf borderId="0" fillId="2" fontId="9" numFmtId="0" xfId="0" applyAlignment="1" applyFont="1">
      <alignment horizontal="center" readingOrder="0" shrinkToFit="0" wrapText="0"/>
    </xf>
    <xf borderId="0" fillId="0" fontId="11" numFmtId="0" xfId="0" applyAlignment="1" applyFont="1">
      <alignment shrinkToFit="0" vertical="bottom" wrapText="0"/>
    </xf>
    <xf borderId="1" fillId="5" fontId="3" numFmtId="0" xfId="0" applyAlignment="1" applyBorder="1" applyFont="1">
      <alignment horizontal="left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readingOrder="0" shrinkToFit="0" vertical="center" wrapText="1"/>
    </xf>
    <xf borderId="5" fillId="5" fontId="5" numFmtId="0" xfId="0" applyAlignment="1" applyBorder="1" applyFont="1">
      <alignment horizontal="center" readingOrder="0" shrinkToFit="0" vertical="bottom" wrapText="1"/>
    </xf>
    <xf borderId="5" fillId="3" fontId="5" numFmtId="0" xfId="0" applyAlignment="1" applyBorder="1" applyFont="1">
      <alignment horizontal="center" readingOrder="0" shrinkToFit="0" vertical="bottom" wrapText="1"/>
    </xf>
    <xf borderId="5" fillId="12" fontId="5" numFmtId="0" xfId="0" applyAlignment="1" applyBorder="1" applyFont="1">
      <alignment horizontal="center" readingOrder="0" shrinkToFit="0" vertical="bottom" wrapText="1"/>
    </xf>
    <xf borderId="5" fillId="16" fontId="5" numFmtId="0" xfId="0" applyAlignment="1" applyBorder="1" applyFill="1" applyFont="1">
      <alignment horizontal="center" shrinkToFit="0" vertical="bottom" wrapText="1"/>
    </xf>
    <xf borderId="1" fillId="6" fontId="3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4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28.0"/>
    <col customWidth="1" min="4" max="5" width="11.0"/>
    <col customWidth="1" min="6" max="6" width="13.0"/>
    <col customWidth="1" min="7" max="7" width="14.0"/>
    <col customWidth="1" min="8" max="8" width="22.0"/>
    <col customWidth="1" min="9" max="9" width="13.0"/>
    <col customWidth="1" min="10" max="10" width="14.0"/>
    <col customWidth="1" min="11" max="11" width="13.0"/>
    <col customWidth="1" min="12" max="12" width="9.0"/>
    <col customWidth="1" min="13" max="13" width="3.0"/>
    <col customWidth="1" min="14" max="19" width="14.0"/>
    <col customWidth="1" min="20" max="26" width="8.71"/>
  </cols>
  <sheetData>
    <row r="1" ht="18.0" customHeight="1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</row>
    <row r="2" ht="18.0" customHeight="1">
      <c r="A2" s="3" t="s">
        <v>16</v>
      </c>
      <c r="B2" s="3" t="s">
        <v>17</v>
      </c>
      <c r="C2" s="4" t="s">
        <v>18</v>
      </c>
      <c r="D2" s="5"/>
      <c r="E2" s="5"/>
      <c r="F2" s="5"/>
      <c r="G2" s="5"/>
      <c r="H2" s="5"/>
      <c r="I2" s="5"/>
      <c r="J2" s="5"/>
      <c r="K2" s="5"/>
      <c r="L2" s="5"/>
      <c r="N2" s="6" t="s">
        <v>19</v>
      </c>
      <c r="O2" s="7"/>
      <c r="P2" s="7"/>
      <c r="Q2" s="7"/>
      <c r="R2" s="7"/>
      <c r="S2" s="7"/>
    </row>
    <row r="3" ht="18.0" customHeight="1">
      <c r="A3" s="8"/>
      <c r="B3" s="8"/>
      <c r="C3" s="9" t="s">
        <v>20</v>
      </c>
      <c r="D3" s="10">
        <v>4.0</v>
      </c>
      <c r="E3" s="11">
        <f t="shared" ref="E3:E4" si="1">D3*$P$3</f>
        <v>0</v>
      </c>
      <c r="F3" s="12" t="s">
        <v>21</v>
      </c>
      <c r="G3" s="13">
        <v>70.0</v>
      </c>
      <c r="H3" s="14"/>
      <c r="I3" s="15">
        <v>70.0</v>
      </c>
      <c r="J3" s="7">
        <f t="shared" ref="J3:J4" si="2">IF(OR(E3="",G3=""),"",ROUNDUP(E3/G3,0))</f>
        <v>0</v>
      </c>
      <c r="K3" s="7">
        <f t="shared" ref="K3:K4" si="3">IF(OR(J3="",I3=""),"",J3*I3)</f>
        <v>0</v>
      </c>
      <c r="L3" s="7"/>
      <c r="N3" s="6"/>
      <c r="O3" s="7"/>
      <c r="P3" s="7"/>
      <c r="Q3" s="7"/>
      <c r="R3" s="7"/>
      <c r="S3" s="7"/>
    </row>
    <row r="4" ht="18.0" customHeight="1">
      <c r="A4" s="8"/>
      <c r="B4" s="8"/>
      <c r="C4" s="9" t="s">
        <v>22</v>
      </c>
      <c r="D4" s="10">
        <v>50.0</v>
      </c>
      <c r="E4" s="11">
        <f t="shared" si="1"/>
        <v>0</v>
      </c>
      <c r="F4" s="12" t="s">
        <v>23</v>
      </c>
      <c r="G4" s="13">
        <v>1000.0</v>
      </c>
      <c r="H4" s="14"/>
      <c r="I4" s="15">
        <v>100.0</v>
      </c>
      <c r="J4" s="7">
        <f t="shared" si="2"/>
        <v>0</v>
      </c>
      <c r="K4" s="7">
        <f t="shared" si="3"/>
        <v>0</v>
      </c>
      <c r="L4" s="7"/>
      <c r="N4" s="6" t="s">
        <v>24</v>
      </c>
      <c r="O4" s="7"/>
      <c r="P4" s="7"/>
      <c r="Q4" s="7"/>
      <c r="R4" s="7"/>
      <c r="S4" s="7"/>
    </row>
    <row r="5" ht="18.0" customHeight="1">
      <c r="A5" s="8"/>
      <c r="B5" s="8"/>
      <c r="C5" s="9"/>
      <c r="D5" s="10"/>
      <c r="E5" s="11"/>
      <c r="F5" s="12"/>
      <c r="G5" s="13"/>
      <c r="H5" s="14"/>
      <c r="I5" s="15"/>
      <c r="J5" s="7"/>
      <c r="K5" s="7"/>
      <c r="L5" s="7"/>
      <c r="N5" s="6"/>
      <c r="O5" s="7"/>
      <c r="P5" s="7"/>
      <c r="Q5" s="7"/>
      <c r="R5" s="7"/>
      <c r="S5" s="7"/>
    </row>
    <row r="6" ht="18.0" customHeight="1">
      <c r="A6" s="8"/>
      <c r="B6" s="8"/>
      <c r="C6" s="9" t="s">
        <v>25</v>
      </c>
      <c r="D6" s="10">
        <v>30.0</v>
      </c>
      <c r="E6" s="11">
        <f>D6*$P$3</f>
        <v>0</v>
      </c>
      <c r="F6" s="12" t="s">
        <v>23</v>
      </c>
      <c r="G6" s="13">
        <v>1000.0</v>
      </c>
      <c r="H6" s="14"/>
      <c r="I6" s="15">
        <v>70.0</v>
      </c>
      <c r="J6" s="7">
        <f>IF(OR(E6="",G6=""),"",ROUNDUP(E6/G6,0))</f>
        <v>0</v>
      </c>
      <c r="K6" s="7">
        <f>IF(OR(J6="",I6=""),"",J6*I6)</f>
        <v>0</v>
      </c>
      <c r="L6" s="7"/>
      <c r="N6" s="6"/>
      <c r="O6" s="7"/>
      <c r="P6" s="7"/>
      <c r="Q6" s="7"/>
      <c r="R6" s="7"/>
      <c r="S6" s="7"/>
    </row>
    <row r="7" ht="18.0" customHeight="1">
      <c r="A7" s="8"/>
      <c r="B7" s="8"/>
      <c r="C7" s="4" t="s">
        <v>26</v>
      </c>
      <c r="D7" s="5"/>
      <c r="E7" s="5"/>
      <c r="F7" s="5"/>
      <c r="G7" s="5"/>
      <c r="H7" s="5"/>
      <c r="I7" s="5"/>
      <c r="J7" s="5"/>
      <c r="K7" s="5"/>
      <c r="L7" s="5"/>
      <c r="N7" s="6" t="s">
        <v>27</v>
      </c>
      <c r="O7" s="7"/>
      <c r="P7" s="7"/>
      <c r="Q7" s="7"/>
      <c r="R7" s="7"/>
      <c r="S7" s="7"/>
    </row>
    <row r="8" ht="18.0" customHeight="1">
      <c r="A8" s="8"/>
      <c r="B8" s="8"/>
      <c r="C8" s="16" t="s">
        <v>28</v>
      </c>
      <c r="D8" s="7"/>
      <c r="E8" s="7" t="str">
        <f t="shared" ref="E8:E9" si="4">IF(D8="","",D8*$O$2)</f>
        <v/>
      </c>
      <c r="F8" s="16"/>
      <c r="G8" s="7"/>
      <c r="H8" s="16"/>
      <c r="I8" s="7"/>
      <c r="J8" s="7" t="str">
        <f t="shared" ref="J8:J9" si="5">IF(OR(E8="",G8=""),"",ROUNDUP(E8/G8,0))</f>
        <v/>
      </c>
      <c r="K8" s="7" t="str">
        <f t="shared" ref="K8:K9" si="6">IF(OR(J8="",I8=""),"",J8*I8)</f>
        <v/>
      </c>
      <c r="L8" s="7"/>
      <c r="N8" s="6" t="s">
        <v>29</v>
      </c>
      <c r="O8" s="7"/>
      <c r="P8" s="7"/>
      <c r="Q8" s="7"/>
      <c r="R8" s="7"/>
      <c r="S8" s="7"/>
    </row>
    <row r="9" ht="18.0" customHeight="1">
      <c r="A9" s="8"/>
      <c r="B9" s="17"/>
      <c r="C9" s="16" t="s">
        <v>30</v>
      </c>
      <c r="D9" s="7"/>
      <c r="E9" s="7" t="str">
        <f t="shared" si="4"/>
        <v/>
      </c>
      <c r="F9" s="16"/>
      <c r="G9" s="7"/>
      <c r="H9" s="16"/>
      <c r="I9" s="7"/>
      <c r="J9" s="7" t="str">
        <f t="shared" si="5"/>
        <v/>
      </c>
      <c r="K9" s="7" t="str">
        <f t="shared" si="6"/>
        <v/>
      </c>
      <c r="L9" s="7"/>
      <c r="N9" s="6" t="s">
        <v>31</v>
      </c>
      <c r="O9" s="7"/>
      <c r="P9" s="7"/>
      <c r="Q9" s="7"/>
      <c r="R9" s="7"/>
      <c r="S9" s="7"/>
    </row>
    <row r="10" ht="18.0" customHeight="1">
      <c r="A10" s="8"/>
      <c r="B10" s="3" t="s">
        <v>32</v>
      </c>
      <c r="C10" s="4" t="s">
        <v>33</v>
      </c>
      <c r="D10" s="5"/>
      <c r="E10" s="5"/>
      <c r="F10" s="5"/>
      <c r="G10" s="5"/>
      <c r="H10" s="5"/>
      <c r="I10" s="5"/>
      <c r="J10" s="5"/>
      <c r="K10" s="5"/>
      <c r="L10" s="5"/>
      <c r="N10" s="6" t="s">
        <v>34</v>
      </c>
      <c r="O10" s="7"/>
      <c r="P10" s="7"/>
      <c r="Q10" s="7"/>
      <c r="R10" s="7"/>
      <c r="S10" s="7"/>
    </row>
    <row r="11" ht="18.0" customHeight="1">
      <c r="A11" s="8"/>
      <c r="B11" s="8"/>
      <c r="C11" s="16" t="s">
        <v>28</v>
      </c>
      <c r="D11" s="7"/>
      <c r="E11" s="7" t="str">
        <f t="shared" ref="E11:E13" si="7">IF(D11="","",D11*$O$2)</f>
        <v/>
      </c>
      <c r="F11" s="16"/>
      <c r="G11" s="7"/>
      <c r="H11" s="16"/>
      <c r="I11" s="7"/>
      <c r="J11" s="7" t="str">
        <f t="shared" ref="J11:J13" si="8">IF(OR(E11="",G11=""),"",ROUNDUP(E11/G11,0))</f>
        <v/>
      </c>
      <c r="K11" s="7" t="str">
        <f t="shared" ref="K11:K13" si="9">IF(OR(J11="",I11=""),"",J11*I11)</f>
        <v/>
      </c>
      <c r="L11" s="7"/>
      <c r="N11" s="6" t="s">
        <v>35</v>
      </c>
      <c r="O11" s="7"/>
      <c r="P11" s="7"/>
      <c r="Q11" s="7"/>
      <c r="R11" s="7"/>
      <c r="S11" s="7"/>
    </row>
    <row r="12" ht="18.0" customHeight="1">
      <c r="A12" s="8"/>
      <c r="B12" s="8"/>
      <c r="C12" s="16" t="s">
        <v>30</v>
      </c>
      <c r="D12" s="7"/>
      <c r="E12" s="7" t="str">
        <f t="shared" si="7"/>
        <v/>
      </c>
      <c r="F12" s="16"/>
      <c r="G12" s="7"/>
      <c r="H12" s="16"/>
      <c r="I12" s="7"/>
      <c r="J12" s="7" t="str">
        <f t="shared" si="8"/>
        <v/>
      </c>
      <c r="K12" s="7" t="str">
        <f t="shared" si="9"/>
        <v/>
      </c>
      <c r="L12" s="7"/>
      <c r="N12" s="6" t="s">
        <v>36</v>
      </c>
      <c r="O12" s="7" t="str">
        <f>IF(OR(O10="",O11=""),"",O10-O11)</f>
        <v/>
      </c>
      <c r="P12" s="7"/>
      <c r="Q12" s="7"/>
      <c r="R12" s="7"/>
      <c r="S12" s="7"/>
    </row>
    <row r="13" ht="18.0" customHeight="1">
      <c r="A13" s="17"/>
      <c r="B13" s="17"/>
      <c r="C13" s="16" t="s">
        <v>37</v>
      </c>
      <c r="D13" s="7"/>
      <c r="E13" s="7" t="str">
        <f t="shared" si="7"/>
        <v/>
      </c>
      <c r="F13" s="16"/>
      <c r="G13" s="7"/>
      <c r="H13" s="16"/>
      <c r="I13" s="7"/>
      <c r="J13" s="7" t="str">
        <f t="shared" si="8"/>
        <v/>
      </c>
      <c r="K13" s="7" t="str">
        <f t="shared" si="9"/>
        <v/>
      </c>
      <c r="L13" s="7"/>
    </row>
    <row r="14" ht="18.0" customHeight="1">
      <c r="A14" s="3" t="s">
        <v>38</v>
      </c>
      <c r="B14" s="3" t="s">
        <v>39</v>
      </c>
      <c r="C14" s="4" t="s">
        <v>40</v>
      </c>
      <c r="D14" s="5"/>
      <c r="E14" s="5"/>
      <c r="F14" s="5"/>
      <c r="G14" s="5"/>
      <c r="H14" s="5"/>
      <c r="I14" s="5"/>
      <c r="J14" s="5"/>
      <c r="K14" s="5"/>
      <c r="L14" s="5"/>
    </row>
    <row r="15" ht="18.0" customHeight="1">
      <c r="A15" s="8"/>
      <c r="B15" s="8"/>
      <c r="C15" s="16" t="s">
        <v>28</v>
      </c>
      <c r="D15" s="7"/>
      <c r="E15" s="7" t="str">
        <f t="shared" ref="E15:E16" si="10">IF(D15="","",D15*$O$2)</f>
        <v/>
      </c>
      <c r="F15" s="16"/>
      <c r="G15" s="7"/>
      <c r="H15" s="16"/>
      <c r="I15" s="7"/>
      <c r="J15" s="7" t="str">
        <f t="shared" ref="J15:J16" si="11">IF(OR(E15="",G15=""),"",ROUNDUP(E15/G15,0))</f>
        <v/>
      </c>
      <c r="K15" s="7" t="str">
        <f t="shared" ref="K15:K16" si="12">IF(OR(J15="",I15=""),"",J15*I15)</f>
        <v/>
      </c>
      <c r="L15" s="7"/>
    </row>
    <row r="16" ht="18.0" customHeight="1">
      <c r="A16" s="8"/>
      <c r="B16" s="17"/>
      <c r="C16" s="16" t="s">
        <v>30</v>
      </c>
      <c r="D16" s="7"/>
      <c r="E16" s="7" t="str">
        <f t="shared" si="10"/>
        <v/>
      </c>
      <c r="F16" s="16"/>
      <c r="G16" s="7"/>
      <c r="H16" s="16"/>
      <c r="I16" s="7"/>
      <c r="J16" s="7" t="str">
        <f t="shared" si="11"/>
        <v/>
      </c>
      <c r="K16" s="7" t="str">
        <f t="shared" si="12"/>
        <v/>
      </c>
      <c r="L16" s="7"/>
    </row>
    <row r="17" ht="18.0" customHeight="1">
      <c r="A17" s="8"/>
      <c r="B17" s="3" t="s">
        <v>17</v>
      </c>
      <c r="C17" s="4" t="s">
        <v>41</v>
      </c>
      <c r="D17" s="5"/>
      <c r="E17" s="5"/>
      <c r="F17" s="5"/>
      <c r="G17" s="5"/>
      <c r="H17" s="5"/>
      <c r="I17" s="5"/>
      <c r="J17" s="5"/>
      <c r="K17" s="5"/>
      <c r="L17" s="5"/>
    </row>
    <row r="18" ht="18.0" customHeight="1">
      <c r="A18" s="8"/>
      <c r="B18" s="8"/>
      <c r="C18" s="16" t="s">
        <v>28</v>
      </c>
      <c r="D18" s="7"/>
      <c r="E18" s="7" t="str">
        <f t="shared" ref="E18:E20" si="13">IF(D18="","",D18*$O$2)</f>
        <v/>
      </c>
      <c r="F18" s="16"/>
      <c r="G18" s="7"/>
      <c r="H18" s="16"/>
      <c r="I18" s="7"/>
      <c r="J18" s="7" t="str">
        <f t="shared" ref="J18:J20" si="14">IF(OR(E18="",G18=""),"",ROUNDUP(E18/G18,0))</f>
        <v/>
      </c>
      <c r="K18" s="7" t="str">
        <f t="shared" ref="K18:K20" si="15">IF(OR(J18="",I18=""),"",J18*I18)</f>
        <v/>
      </c>
      <c r="L18" s="7"/>
    </row>
    <row r="19" ht="18.0" customHeight="1">
      <c r="A19" s="8"/>
      <c r="B19" s="8"/>
      <c r="C19" s="16" t="s">
        <v>30</v>
      </c>
      <c r="D19" s="7"/>
      <c r="E19" s="7" t="str">
        <f t="shared" si="13"/>
        <v/>
      </c>
      <c r="F19" s="16"/>
      <c r="G19" s="7"/>
      <c r="H19" s="16"/>
      <c r="I19" s="7"/>
      <c r="J19" s="7" t="str">
        <f t="shared" si="14"/>
        <v/>
      </c>
      <c r="K19" s="7" t="str">
        <f t="shared" si="15"/>
        <v/>
      </c>
      <c r="L19" s="7"/>
    </row>
    <row r="20" ht="18.0" customHeight="1">
      <c r="A20" s="17"/>
      <c r="B20" s="17"/>
      <c r="C20" s="16" t="s">
        <v>37</v>
      </c>
      <c r="D20" s="7"/>
      <c r="E20" s="7" t="str">
        <f t="shared" si="13"/>
        <v/>
      </c>
      <c r="F20" s="16"/>
      <c r="G20" s="7"/>
      <c r="H20" s="16"/>
      <c r="I20" s="7"/>
      <c r="J20" s="7" t="str">
        <f t="shared" si="14"/>
        <v/>
      </c>
      <c r="K20" s="7" t="str">
        <f t="shared" si="15"/>
        <v/>
      </c>
      <c r="L20" s="7"/>
    </row>
    <row r="21" ht="18.0" customHeight="1">
      <c r="A21" s="18" t="s">
        <v>27</v>
      </c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ht="18.0" customHeight="1">
      <c r="A22" s="21"/>
      <c r="B22" s="21"/>
      <c r="C22" s="16" t="s">
        <v>42</v>
      </c>
      <c r="D22" s="21"/>
      <c r="E22" s="21"/>
      <c r="F22" s="21"/>
      <c r="G22" s="21"/>
      <c r="H22" s="21"/>
      <c r="I22" s="21"/>
      <c r="J22" s="21" t="str">
        <f t="shared" ref="J22:J33" si="16">IF(OR(G22="",I22=""),"",ROUNDUP(E22/G22,0))</f>
        <v/>
      </c>
      <c r="K22" s="21" t="str">
        <f t="shared" ref="K22:K33" si="17">IF(OR(J22="",I22=""),"",J22*I22)</f>
        <v/>
      </c>
      <c r="L22" s="21"/>
    </row>
    <row r="23" ht="18.0" customHeight="1">
      <c r="A23" s="21"/>
      <c r="B23" s="21"/>
      <c r="C23" s="16" t="s">
        <v>43</v>
      </c>
      <c r="D23" s="21"/>
      <c r="E23" s="21"/>
      <c r="F23" s="21"/>
      <c r="G23" s="21"/>
      <c r="H23" s="21"/>
      <c r="I23" s="21"/>
      <c r="J23" s="21" t="str">
        <f t="shared" si="16"/>
        <v/>
      </c>
      <c r="K23" s="21" t="str">
        <f t="shared" si="17"/>
        <v/>
      </c>
      <c r="L23" s="21"/>
    </row>
    <row r="24" ht="18.0" customHeight="1">
      <c r="A24" s="21"/>
      <c r="B24" s="21"/>
      <c r="C24" s="16" t="s">
        <v>44</v>
      </c>
      <c r="D24" s="21"/>
      <c r="E24" s="21"/>
      <c r="F24" s="21"/>
      <c r="G24" s="21"/>
      <c r="H24" s="21"/>
      <c r="I24" s="21"/>
      <c r="J24" s="21" t="str">
        <f t="shared" si="16"/>
        <v/>
      </c>
      <c r="K24" s="21" t="str">
        <f t="shared" si="17"/>
        <v/>
      </c>
      <c r="L24" s="21"/>
    </row>
    <row r="25" ht="18.0" customHeight="1">
      <c r="A25" s="21"/>
      <c r="B25" s="21"/>
      <c r="C25" s="16" t="s">
        <v>45</v>
      </c>
      <c r="D25" s="21"/>
      <c r="E25" s="21"/>
      <c r="F25" s="21"/>
      <c r="G25" s="21"/>
      <c r="H25" s="21"/>
      <c r="I25" s="21"/>
      <c r="J25" s="21" t="str">
        <f t="shared" si="16"/>
        <v/>
      </c>
      <c r="K25" s="21" t="str">
        <f t="shared" si="17"/>
        <v/>
      </c>
      <c r="L25" s="21"/>
    </row>
    <row r="26" ht="18.0" customHeight="1">
      <c r="A26" s="21"/>
      <c r="B26" s="21"/>
      <c r="C26" s="16" t="s">
        <v>46</v>
      </c>
      <c r="D26" s="21"/>
      <c r="E26" s="21"/>
      <c r="F26" s="21"/>
      <c r="G26" s="21"/>
      <c r="H26" s="21"/>
      <c r="I26" s="21"/>
      <c r="J26" s="21" t="str">
        <f t="shared" si="16"/>
        <v/>
      </c>
      <c r="K26" s="21" t="str">
        <f t="shared" si="17"/>
        <v/>
      </c>
      <c r="L26" s="21"/>
    </row>
    <row r="27" ht="18.0" customHeight="1">
      <c r="A27" s="21"/>
      <c r="B27" s="21"/>
      <c r="C27" s="16" t="s">
        <v>47</v>
      </c>
      <c r="D27" s="21"/>
      <c r="E27" s="21"/>
      <c r="F27" s="21"/>
      <c r="G27" s="21"/>
      <c r="H27" s="21"/>
      <c r="I27" s="21"/>
      <c r="J27" s="21" t="str">
        <f t="shared" si="16"/>
        <v/>
      </c>
      <c r="K27" s="21" t="str">
        <f t="shared" si="17"/>
        <v/>
      </c>
      <c r="L27" s="21"/>
    </row>
    <row r="28" ht="18.0" customHeight="1">
      <c r="A28" s="21"/>
      <c r="B28" s="21"/>
      <c r="C28" s="16" t="s">
        <v>48</v>
      </c>
      <c r="D28" s="21"/>
      <c r="E28" s="21"/>
      <c r="F28" s="21"/>
      <c r="G28" s="21"/>
      <c r="H28" s="21"/>
      <c r="I28" s="21"/>
      <c r="J28" s="21" t="str">
        <f t="shared" si="16"/>
        <v/>
      </c>
      <c r="K28" s="21" t="str">
        <f t="shared" si="17"/>
        <v/>
      </c>
      <c r="L28" s="21"/>
    </row>
    <row r="29" ht="18.0" customHeight="1">
      <c r="A29" s="21"/>
      <c r="B29" s="21"/>
      <c r="C29" s="16" t="s">
        <v>49</v>
      </c>
      <c r="D29" s="21"/>
      <c r="E29" s="21"/>
      <c r="F29" s="21"/>
      <c r="G29" s="21"/>
      <c r="H29" s="21"/>
      <c r="I29" s="21"/>
      <c r="J29" s="21" t="str">
        <f t="shared" si="16"/>
        <v/>
      </c>
      <c r="K29" s="21" t="str">
        <f t="shared" si="17"/>
        <v/>
      </c>
      <c r="L29" s="21"/>
    </row>
    <row r="30" ht="18.0" customHeight="1">
      <c r="A30" s="21"/>
      <c r="B30" s="21"/>
      <c r="C30" s="16" t="s">
        <v>50</v>
      </c>
      <c r="D30" s="21"/>
      <c r="E30" s="21"/>
      <c r="F30" s="21"/>
      <c r="G30" s="21"/>
      <c r="H30" s="21"/>
      <c r="I30" s="21"/>
      <c r="J30" s="21" t="str">
        <f t="shared" si="16"/>
        <v/>
      </c>
      <c r="K30" s="21" t="str">
        <f t="shared" si="17"/>
        <v/>
      </c>
      <c r="L30" s="21"/>
    </row>
    <row r="31" ht="18.0" customHeight="1">
      <c r="A31" s="21"/>
      <c r="B31" s="21"/>
      <c r="C31" s="16" t="s">
        <v>51</v>
      </c>
      <c r="D31" s="21"/>
      <c r="E31" s="21"/>
      <c r="F31" s="21"/>
      <c r="G31" s="21"/>
      <c r="H31" s="21"/>
      <c r="I31" s="21"/>
      <c r="J31" s="21" t="str">
        <f t="shared" si="16"/>
        <v/>
      </c>
      <c r="K31" s="21" t="str">
        <f t="shared" si="17"/>
        <v/>
      </c>
      <c r="L31" s="21"/>
    </row>
    <row r="32" ht="18.0" customHeight="1">
      <c r="A32" s="21"/>
      <c r="B32" s="21"/>
      <c r="C32" s="16" t="s">
        <v>52</v>
      </c>
      <c r="D32" s="21"/>
      <c r="E32" s="21"/>
      <c r="F32" s="21"/>
      <c r="G32" s="21"/>
      <c r="H32" s="21"/>
      <c r="I32" s="21"/>
      <c r="J32" s="21" t="str">
        <f t="shared" si="16"/>
        <v/>
      </c>
      <c r="K32" s="21" t="str">
        <f t="shared" si="17"/>
        <v/>
      </c>
      <c r="L32" s="21"/>
    </row>
    <row r="33" ht="18.0" customHeight="1">
      <c r="A33" s="21"/>
      <c r="B33" s="21"/>
      <c r="C33" s="16" t="s">
        <v>53</v>
      </c>
      <c r="D33" s="21"/>
      <c r="E33" s="21"/>
      <c r="F33" s="21"/>
      <c r="G33" s="21"/>
      <c r="H33" s="21"/>
      <c r="I33" s="21"/>
      <c r="J33" s="21" t="str">
        <f t="shared" si="16"/>
        <v/>
      </c>
      <c r="K33" s="21" t="str">
        <f t="shared" si="17"/>
        <v/>
      </c>
      <c r="L33" s="21"/>
    </row>
    <row r="34" ht="18.0" customHeight="1">
      <c r="A34" s="20"/>
      <c r="B34" s="20"/>
      <c r="C34" s="22" t="s">
        <v>54</v>
      </c>
      <c r="D34" s="20"/>
      <c r="E34" s="20"/>
      <c r="F34" s="20"/>
      <c r="G34" s="20"/>
      <c r="H34" s="20"/>
      <c r="I34" s="20"/>
      <c r="J34" s="20"/>
      <c r="K34" s="22">
        <f>SUM(K22:K33)</f>
        <v>0</v>
      </c>
      <c r="L34" s="20"/>
    </row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  <row r="1001" ht="18.0" customHeight="1"/>
  </sheetData>
  <mergeCells count="7">
    <mergeCell ref="B10:B13"/>
    <mergeCell ref="A14:A20"/>
    <mergeCell ref="B14:B16"/>
    <mergeCell ref="B17:B20"/>
    <mergeCell ref="A21:B21"/>
    <mergeCell ref="A2:A13"/>
    <mergeCell ref="B2:B9"/>
  </mergeCells>
  <dataValidations>
    <dataValidation type="list" allowBlank="1" showErrorMessage="1" sqref="F3:F6">
      <formula1>"г.,шт.,банок,батонов,пачка,л"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4.0"/>
    <col customWidth="1" min="3" max="3" width="12.0"/>
    <col customWidth="1" min="4" max="4" width="15.86"/>
    <col customWidth="1" min="5" max="5" width="19.0"/>
    <col customWidth="1" min="6" max="6" width="17.14"/>
    <col customWidth="1" min="7" max="7" width="23.29"/>
    <col customWidth="1" min="8" max="8" width="24.71"/>
    <col customWidth="1" min="9" max="9" width="19.43"/>
    <col customWidth="1" min="10" max="26" width="8.71"/>
  </cols>
  <sheetData>
    <row r="1">
      <c r="A1" s="23" t="s">
        <v>55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  <c r="G1" s="23" t="s">
        <v>61</v>
      </c>
      <c r="H1" s="23" t="s">
        <v>27</v>
      </c>
      <c r="I1" s="23" t="s">
        <v>62</v>
      </c>
    </row>
    <row r="2">
      <c r="A2" s="24" t="s">
        <v>63</v>
      </c>
      <c r="B2" s="25" t="s">
        <v>64</v>
      </c>
      <c r="C2" s="26" t="s">
        <v>65</v>
      </c>
      <c r="D2" s="27"/>
      <c r="E2" s="27"/>
      <c r="F2" s="27"/>
      <c r="G2" s="27"/>
      <c r="H2" s="27"/>
      <c r="I2" s="27"/>
    </row>
    <row r="3">
      <c r="B3" s="25" t="s">
        <v>66</v>
      </c>
      <c r="C3" s="26" t="s">
        <v>65</v>
      </c>
      <c r="D3" s="27"/>
      <c r="E3" s="27"/>
      <c r="F3" s="27"/>
      <c r="G3" s="27"/>
      <c r="H3" s="27"/>
      <c r="I3" s="27"/>
    </row>
    <row r="4">
      <c r="B4" s="25" t="s">
        <v>67</v>
      </c>
      <c r="C4" s="26" t="s">
        <v>65</v>
      </c>
      <c r="D4" s="27"/>
      <c r="E4" s="27"/>
      <c r="F4" s="27"/>
      <c r="G4" s="27"/>
      <c r="H4" s="27"/>
      <c r="I4" s="27"/>
    </row>
    <row r="5">
      <c r="B5" s="25" t="s">
        <v>68</v>
      </c>
      <c r="C5" s="26" t="s">
        <v>65</v>
      </c>
      <c r="D5" s="27"/>
      <c r="E5" s="27"/>
      <c r="F5" s="27"/>
      <c r="G5" s="27"/>
      <c r="H5" s="27"/>
      <c r="I5" s="27"/>
    </row>
    <row r="6">
      <c r="B6" s="25" t="s">
        <v>69</v>
      </c>
      <c r="C6" s="26" t="s">
        <v>65</v>
      </c>
      <c r="D6" s="27"/>
      <c r="E6" s="27"/>
      <c r="F6" s="27"/>
      <c r="G6" s="27"/>
      <c r="H6" s="27"/>
      <c r="I6" s="27"/>
    </row>
    <row r="7">
      <c r="B7" s="25" t="s">
        <v>70</v>
      </c>
      <c r="C7" s="26" t="s">
        <v>65</v>
      </c>
      <c r="D7" s="28"/>
      <c r="E7" s="28"/>
      <c r="F7" s="28"/>
      <c r="G7" s="28"/>
      <c r="H7" s="28"/>
      <c r="I7" s="28"/>
    </row>
    <row r="8">
      <c r="B8" s="25" t="s">
        <v>71</v>
      </c>
      <c r="C8" s="26" t="s">
        <v>65</v>
      </c>
      <c r="D8" s="28"/>
      <c r="E8" s="28"/>
      <c r="F8" s="28"/>
      <c r="G8" s="28"/>
      <c r="H8" s="28"/>
      <c r="I8" s="28"/>
    </row>
    <row r="9">
      <c r="B9" s="25" t="s">
        <v>72</v>
      </c>
      <c r="C9" s="26" t="s">
        <v>65</v>
      </c>
      <c r="D9" s="28"/>
      <c r="E9" s="28"/>
      <c r="F9" s="28"/>
      <c r="G9" s="28"/>
      <c r="H9" s="28"/>
      <c r="I9" s="28"/>
    </row>
    <row r="10">
      <c r="A10" s="29" t="s">
        <v>73</v>
      </c>
      <c r="B10" s="30" t="s">
        <v>74</v>
      </c>
      <c r="C10" s="31" t="s">
        <v>65</v>
      </c>
      <c r="D10" s="32"/>
      <c r="E10" s="32"/>
      <c r="F10" s="32"/>
      <c r="G10" s="32"/>
      <c r="H10" s="32"/>
      <c r="I10" s="32"/>
    </row>
    <row r="11">
      <c r="B11" s="30" t="s">
        <v>75</v>
      </c>
      <c r="C11" s="31" t="s">
        <v>65</v>
      </c>
      <c r="D11" s="32"/>
      <c r="E11" s="32"/>
      <c r="F11" s="32"/>
      <c r="G11" s="32"/>
      <c r="H11" s="32"/>
      <c r="I11" s="32"/>
    </row>
    <row r="12">
      <c r="B12" s="30" t="s">
        <v>76</v>
      </c>
      <c r="C12" s="31" t="s">
        <v>65</v>
      </c>
      <c r="D12" s="32"/>
      <c r="E12" s="32"/>
      <c r="F12" s="32"/>
      <c r="G12" s="32"/>
      <c r="H12" s="32"/>
      <c r="I12" s="32"/>
    </row>
    <row r="13">
      <c r="B13" s="30" t="s">
        <v>77</v>
      </c>
      <c r="C13" s="31" t="s">
        <v>65</v>
      </c>
      <c r="D13" s="32"/>
      <c r="E13" s="32"/>
      <c r="F13" s="32"/>
      <c r="G13" s="32"/>
      <c r="H13" s="32"/>
      <c r="I13" s="32"/>
    </row>
    <row r="14">
      <c r="B14" s="30" t="s">
        <v>78</v>
      </c>
      <c r="C14" s="31" t="s">
        <v>65</v>
      </c>
      <c r="D14" s="32"/>
      <c r="E14" s="32"/>
      <c r="F14" s="32"/>
      <c r="G14" s="32"/>
      <c r="H14" s="32"/>
      <c r="I14" s="32"/>
    </row>
    <row r="15">
      <c r="B15" s="30" t="s">
        <v>79</v>
      </c>
      <c r="C15" s="31" t="s">
        <v>65</v>
      </c>
      <c r="D15" s="32"/>
      <c r="E15" s="32"/>
      <c r="F15" s="32"/>
      <c r="G15" s="32"/>
      <c r="H15" s="32"/>
      <c r="I15" s="32"/>
    </row>
    <row r="16">
      <c r="B16" s="30" t="s">
        <v>80</v>
      </c>
      <c r="C16" s="31" t="s">
        <v>65</v>
      </c>
      <c r="D16" s="32"/>
      <c r="E16" s="32"/>
      <c r="F16" s="32"/>
      <c r="G16" s="32"/>
      <c r="H16" s="32"/>
      <c r="I16" s="32"/>
    </row>
    <row r="17">
      <c r="B17" s="30" t="s">
        <v>81</v>
      </c>
      <c r="C17" s="31" t="s">
        <v>65</v>
      </c>
      <c r="D17" s="32"/>
      <c r="E17" s="32"/>
      <c r="F17" s="32"/>
      <c r="G17" s="32"/>
      <c r="H17" s="32"/>
      <c r="I17" s="32"/>
    </row>
    <row r="18">
      <c r="B18" s="30" t="s">
        <v>82</v>
      </c>
      <c r="C18" s="31" t="s">
        <v>65</v>
      </c>
      <c r="D18" s="32"/>
      <c r="E18" s="32"/>
      <c r="F18" s="32"/>
      <c r="G18" s="32"/>
      <c r="H18" s="32"/>
      <c r="I18" s="32"/>
    </row>
    <row r="19">
      <c r="B19" s="30" t="s">
        <v>83</v>
      </c>
      <c r="C19" s="31" t="s">
        <v>65</v>
      </c>
      <c r="D19" s="32"/>
      <c r="E19" s="32"/>
      <c r="F19" s="32"/>
      <c r="G19" s="32"/>
      <c r="H19" s="32"/>
      <c r="I19" s="32"/>
    </row>
    <row r="20">
      <c r="B20" s="30" t="s">
        <v>84</v>
      </c>
      <c r="C20" s="31" t="s">
        <v>65</v>
      </c>
      <c r="D20" s="32"/>
      <c r="E20" s="32"/>
      <c r="F20" s="32"/>
      <c r="G20" s="32"/>
      <c r="H20" s="32"/>
      <c r="I20" s="32"/>
    </row>
    <row r="21" ht="15.75" customHeight="1">
      <c r="B21" s="30" t="s">
        <v>85</v>
      </c>
      <c r="C21" s="31" t="s">
        <v>65</v>
      </c>
      <c r="D21" s="32"/>
      <c r="E21" s="32"/>
      <c r="F21" s="32"/>
      <c r="G21" s="32"/>
      <c r="H21" s="32"/>
      <c r="I21" s="32"/>
    </row>
    <row r="22" ht="15.75" customHeight="1">
      <c r="B22" s="30" t="s">
        <v>86</v>
      </c>
      <c r="C22" s="31" t="s">
        <v>65</v>
      </c>
      <c r="D22" s="32"/>
      <c r="E22" s="32"/>
      <c r="F22" s="32"/>
      <c r="G22" s="32"/>
      <c r="H22" s="32"/>
      <c r="I22" s="32"/>
    </row>
    <row r="23" ht="15.75" customHeight="1">
      <c r="B23" s="30" t="s">
        <v>87</v>
      </c>
      <c r="C23" s="31" t="s">
        <v>65</v>
      </c>
      <c r="D23" s="32"/>
      <c r="E23" s="32"/>
      <c r="F23" s="32"/>
      <c r="G23" s="32"/>
      <c r="H23" s="32"/>
      <c r="I23" s="32"/>
    </row>
    <row r="24" ht="15.75" customHeight="1">
      <c r="B24" s="30" t="s">
        <v>88</v>
      </c>
      <c r="C24" s="31" t="s">
        <v>65</v>
      </c>
      <c r="D24" s="32"/>
      <c r="E24" s="32"/>
      <c r="F24" s="32"/>
      <c r="G24" s="32"/>
      <c r="H24" s="32"/>
      <c r="I24" s="32"/>
    </row>
    <row r="25" ht="15.75" customHeight="1">
      <c r="A25" s="33" t="s">
        <v>89</v>
      </c>
      <c r="B25" s="34" t="s">
        <v>90</v>
      </c>
      <c r="C25" s="35" t="s">
        <v>65</v>
      </c>
      <c r="D25" s="36"/>
      <c r="E25" s="36"/>
      <c r="F25" s="36"/>
      <c r="G25" s="36"/>
      <c r="H25" s="36"/>
      <c r="I25" s="36"/>
    </row>
    <row r="26" ht="15.75" customHeight="1">
      <c r="B26" s="34" t="s">
        <v>91</v>
      </c>
      <c r="C26" s="35" t="s">
        <v>65</v>
      </c>
      <c r="D26" s="36"/>
      <c r="E26" s="36"/>
      <c r="F26" s="36"/>
      <c r="G26" s="36"/>
      <c r="H26" s="36"/>
      <c r="I26" s="36"/>
    </row>
    <row r="27" ht="15.75" customHeight="1">
      <c r="B27" s="34" t="s">
        <v>92</v>
      </c>
      <c r="C27" s="35" t="s">
        <v>65</v>
      </c>
      <c r="D27" s="36"/>
      <c r="E27" s="36"/>
      <c r="F27" s="36"/>
      <c r="G27" s="36"/>
      <c r="H27" s="36"/>
      <c r="I27" s="36"/>
    </row>
    <row r="28" ht="15.75" customHeight="1">
      <c r="B28" s="34" t="s">
        <v>93</v>
      </c>
      <c r="C28" s="35" t="s">
        <v>65</v>
      </c>
      <c r="D28" s="36"/>
      <c r="E28" s="36"/>
      <c r="F28" s="36"/>
      <c r="G28" s="36"/>
      <c r="H28" s="36"/>
      <c r="I28" s="36"/>
    </row>
    <row r="29" ht="15.75" customHeight="1">
      <c r="B29" s="34" t="s">
        <v>94</v>
      </c>
      <c r="C29" s="35" t="s">
        <v>65</v>
      </c>
      <c r="D29" s="36"/>
      <c r="E29" s="36"/>
      <c r="F29" s="36"/>
      <c r="G29" s="36"/>
      <c r="H29" s="36"/>
      <c r="I29" s="36"/>
    </row>
    <row r="30" ht="15.75" customHeight="1">
      <c r="B30" s="34" t="s">
        <v>95</v>
      </c>
      <c r="C30" s="35" t="s">
        <v>65</v>
      </c>
      <c r="D30" s="36"/>
      <c r="E30" s="36"/>
      <c r="F30" s="36"/>
      <c r="G30" s="36"/>
      <c r="H30" s="36"/>
      <c r="I30" s="36"/>
    </row>
    <row r="31" ht="15.75" customHeight="1">
      <c r="B31" s="34" t="s">
        <v>96</v>
      </c>
      <c r="C31" s="35" t="s">
        <v>65</v>
      </c>
      <c r="D31" s="36"/>
      <c r="E31" s="36"/>
      <c r="F31" s="36"/>
      <c r="G31" s="36"/>
      <c r="H31" s="36"/>
      <c r="I31" s="36"/>
    </row>
    <row r="32" ht="15.75" customHeight="1">
      <c r="B32" s="34" t="s">
        <v>97</v>
      </c>
      <c r="C32" s="35" t="s">
        <v>65</v>
      </c>
      <c r="D32" s="36"/>
      <c r="E32" s="36"/>
      <c r="F32" s="36"/>
      <c r="G32" s="36"/>
      <c r="H32" s="36"/>
      <c r="I32" s="36"/>
    </row>
    <row r="33" ht="15.75" customHeight="1">
      <c r="B33" s="34" t="s">
        <v>98</v>
      </c>
      <c r="C33" s="35" t="s">
        <v>65</v>
      </c>
      <c r="D33" s="36"/>
      <c r="E33" s="36"/>
      <c r="F33" s="36"/>
      <c r="G33" s="36"/>
      <c r="H33" s="36"/>
      <c r="I33" s="36"/>
    </row>
    <row r="34" ht="15.75" customHeight="1">
      <c r="B34" s="34" t="s">
        <v>99</v>
      </c>
      <c r="C34" s="35" t="s">
        <v>65</v>
      </c>
      <c r="D34" s="36"/>
      <c r="E34" s="36"/>
      <c r="F34" s="36"/>
      <c r="G34" s="36"/>
      <c r="H34" s="36"/>
      <c r="I34" s="36"/>
    </row>
    <row r="35" ht="15.75" customHeight="1">
      <c r="B35" s="34" t="s">
        <v>100</v>
      </c>
      <c r="C35" s="35" t="s">
        <v>65</v>
      </c>
      <c r="D35" s="36"/>
      <c r="E35" s="36"/>
      <c r="F35" s="36"/>
      <c r="G35" s="36"/>
      <c r="H35" s="36"/>
      <c r="I35" s="36"/>
    </row>
    <row r="36" ht="15.75" customHeight="1">
      <c r="B36" s="34" t="s">
        <v>101</v>
      </c>
      <c r="C36" s="35" t="s">
        <v>65</v>
      </c>
      <c r="D36" s="36"/>
      <c r="E36" s="36"/>
      <c r="F36" s="36"/>
      <c r="G36" s="36"/>
      <c r="H36" s="36"/>
      <c r="I36" s="36"/>
    </row>
    <row r="37" ht="15.75" customHeight="1">
      <c r="B37" s="34" t="s">
        <v>102</v>
      </c>
      <c r="C37" s="35" t="s">
        <v>65</v>
      </c>
      <c r="D37" s="36"/>
      <c r="E37" s="36"/>
      <c r="F37" s="36"/>
      <c r="G37" s="36"/>
      <c r="H37" s="36"/>
      <c r="I37" s="36"/>
    </row>
    <row r="38" ht="15.75" customHeight="1">
      <c r="B38" s="34" t="s">
        <v>103</v>
      </c>
      <c r="C38" s="35" t="s">
        <v>65</v>
      </c>
      <c r="D38" s="36"/>
      <c r="E38" s="36"/>
      <c r="F38" s="36"/>
      <c r="G38" s="36"/>
      <c r="H38" s="36"/>
      <c r="I38" s="36"/>
    </row>
    <row r="39" ht="15.75" customHeight="1">
      <c r="B39" s="34" t="s">
        <v>104</v>
      </c>
      <c r="C39" s="35" t="s">
        <v>65</v>
      </c>
      <c r="D39" s="36"/>
      <c r="E39" s="36"/>
      <c r="F39" s="36"/>
      <c r="G39" s="36"/>
      <c r="H39" s="36"/>
      <c r="I39" s="36"/>
    </row>
    <row r="40" ht="15.75" customHeight="1">
      <c r="A40" s="37" t="s">
        <v>105</v>
      </c>
      <c r="B40" s="38" t="s">
        <v>106</v>
      </c>
      <c r="C40" s="39" t="s">
        <v>65</v>
      </c>
      <c r="D40" s="40"/>
      <c r="E40" s="40"/>
      <c r="F40" s="40"/>
      <c r="G40" s="40"/>
      <c r="H40" s="40"/>
      <c r="I40" s="40"/>
    </row>
    <row r="41" ht="15.75" customHeight="1">
      <c r="B41" s="38" t="s">
        <v>107</v>
      </c>
      <c r="C41" s="39" t="s">
        <v>65</v>
      </c>
      <c r="D41" s="40"/>
      <c r="E41" s="40"/>
      <c r="F41" s="40"/>
      <c r="G41" s="40"/>
      <c r="H41" s="40"/>
      <c r="I41" s="40"/>
    </row>
    <row r="42" ht="15.75" customHeight="1">
      <c r="B42" s="38" t="s">
        <v>108</v>
      </c>
      <c r="C42" s="39" t="s">
        <v>65</v>
      </c>
      <c r="D42" s="40"/>
      <c r="E42" s="40"/>
      <c r="F42" s="40"/>
      <c r="G42" s="40"/>
      <c r="H42" s="40"/>
      <c r="I42" s="40"/>
    </row>
    <row r="43" ht="15.75" customHeight="1">
      <c r="A43" s="41" t="s">
        <v>109</v>
      </c>
      <c r="B43" s="42" t="s">
        <v>110</v>
      </c>
      <c r="C43" s="43" t="s">
        <v>65</v>
      </c>
      <c r="D43" s="44"/>
      <c r="E43" s="44"/>
      <c r="F43" s="44"/>
      <c r="G43" s="44"/>
      <c r="H43" s="44"/>
      <c r="I43" s="44"/>
    </row>
    <row r="44" ht="15.75" customHeight="1">
      <c r="B44" s="42" t="s">
        <v>111</v>
      </c>
      <c r="C44" s="43" t="s">
        <v>65</v>
      </c>
      <c r="D44" s="44"/>
      <c r="E44" s="44"/>
      <c r="F44" s="44"/>
      <c r="G44" s="44"/>
      <c r="H44" s="44"/>
      <c r="I44" s="44"/>
    </row>
    <row r="45" ht="15.75" customHeight="1">
      <c r="B45" s="42" t="s">
        <v>112</v>
      </c>
      <c r="C45" s="43" t="s">
        <v>65</v>
      </c>
      <c r="D45" s="44"/>
      <c r="E45" s="44"/>
      <c r="F45" s="44"/>
      <c r="G45" s="44"/>
      <c r="H45" s="44"/>
      <c r="I45" s="44"/>
    </row>
    <row r="46" ht="15.75" customHeight="1">
      <c r="B46" s="42" t="s">
        <v>113</v>
      </c>
      <c r="C46" s="43" t="s">
        <v>65</v>
      </c>
      <c r="D46" s="44"/>
      <c r="E46" s="44"/>
      <c r="F46" s="44"/>
      <c r="G46" s="44"/>
      <c r="H46" s="44"/>
      <c r="I46" s="44"/>
    </row>
    <row r="47" ht="15.75" customHeight="1">
      <c r="B47" s="42" t="s">
        <v>114</v>
      </c>
      <c r="C47" s="43" t="s">
        <v>65</v>
      </c>
      <c r="D47" s="44"/>
      <c r="E47" s="44"/>
      <c r="F47" s="44"/>
      <c r="G47" s="44"/>
      <c r="H47" s="44"/>
      <c r="I47" s="44"/>
    </row>
    <row r="48" ht="15.75" customHeight="1">
      <c r="B48" s="42" t="s">
        <v>115</v>
      </c>
      <c r="C48" s="43" t="s">
        <v>65</v>
      </c>
      <c r="D48" s="44"/>
      <c r="E48" s="44"/>
      <c r="F48" s="44"/>
      <c r="G48" s="44"/>
      <c r="H48" s="44"/>
      <c r="I48" s="44"/>
    </row>
    <row r="49" ht="15.75" customHeight="1">
      <c r="A49" s="45" t="s">
        <v>116</v>
      </c>
      <c r="B49" s="46" t="s">
        <v>117</v>
      </c>
      <c r="C49" s="47" t="s">
        <v>65</v>
      </c>
      <c r="D49" s="48"/>
      <c r="E49" s="48"/>
      <c r="F49" s="48"/>
      <c r="G49" s="48"/>
      <c r="H49" s="48"/>
      <c r="I49" s="48"/>
    </row>
    <row r="50" ht="15.75" customHeight="1">
      <c r="B50" s="46" t="s">
        <v>118</v>
      </c>
      <c r="C50" s="47" t="s">
        <v>65</v>
      </c>
      <c r="D50" s="48"/>
      <c r="E50" s="48"/>
      <c r="F50" s="48"/>
      <c r="G50" s="48"/>
      <c r="H50" s="48"/>
      <c r="I50" s="48"/>
    </row>
    <row r="51" ht="15.75" customHeight="1">
      <c r="B51" s="46" t="s">
        <v>119</v>
      </c>
      <c r="C51" s="47" t="s">
        <v>65</v>
      </c>
      <c r="D51" s="48"/>
      <c r="E51" s="48"/>
      <c r="F51" s="48"/>
      <c r="G51" s="48"/>
      <c r="H51" s="48"/>
      <c r="I51" s="48"/>
    </row>
    <row r="52" ht="15.75" customHeight="1">
      <c r="B52" s="46" t="s">
        <v>120</v>
      </c>
      <c r="C52" s="47" t="s">
        <v>65</v>
      </c>
      <c r="D52" s="48"/>
      <c r="E52" s="48"/>
      <c r="F52" s="48"/>
      <c r="G52" s="48"/>
      <c r="H52" s="48"/>
      <c r="I52" s="48"/>
    </row>
    <row r="53" ht="15.75" customHeight="1">
      <c r="B53" s="46" t="s">
        <v>121</v>
      </c>
      <c r="C53" s="47" t="s">
        <v>65</v>
      </c>
      <c r="D53" s="48"/>
      <c r="E53" s="48"/>
      <c r="F53" s="48"/>
      <c r="G53" s="48"/>
      <c r="H53" s="48"/>
      <c r="I53" s="48"/>
    </row>
    <row r="54" ht="15.75" customHeight="1">
      <c r="B54" s="46" t="s">
        <v>122</v>
      </c>
      <c r="C54" s="47" t="s">
        <v>65</v>
      </c>
      <c r="D54" s="48"/>
      <c r="E54" s="48"/>
      <c r="F54" s="48"/>
      <c r="G54" s="48"/>
      <c r="H54" s="48"/>
      <c r="I54" s="48"/>
    </row>
    <row r="55" ht="15.75" customHeight="1">
      <c r="A55" s="49" t="s">
        <v>123</v>
      </c>
      <c r="B55" s="50" t="s">
        <v>124</v>
      </c>
      <c r="C55" s="51" t="s">
        <v>65</v>
      </c>
      <c r="D55" s="52"/>
      <c r="E55" s="52"/>
      <c r="F55" s="52"/>
      <c r="G55" s="52"/>
      <c r="H55" s="52"/>
      <c r="I55" s="52"/>
    </row>
    <row r="56" ht="15.75" customHeight="1">
      <c r="B56" s="50" t="s">
        <v>125</v>
      </c>
      <c r="C56" s="51" t="s">
        <v>65</v>
      </c>
      <c r="D56" s="52"/>
      <c r="E56" s="52"/>
      <c r="F56" s="52"/>
      <c r="G56" s="52"/>
      <c r="H56" s="52"/>
      <c r="I56" s="52"/>
    </row>
    <row r="57" ht="15.75" customHeight="1">
      <c r="B57" s="50" t="s">
        <v>126</v>
      </c>
      <c r="C57" s="51" t="s">
        <v>65</v>
      </c>
      <c r="D57" s="52"/>
      <c r="E57" s="52"/>
      <c r="F57" s="52"/>
      <c r="G57" s="52"/>
      <c r="H57" s="52"/>
      <c r="I57" s="52"/>
    </row>
    <row r="58" ht="15.75" customHeight="1">
      <c r="B58" s="50" t="s">
        <v>127</v>
      </c>
      <c r="C58" s="51" t="s">
        <v>65</v>
      </c>
      <c r="D58" s="52"/>
      <c r="E58" s="52"/>
      <c r="F58" s="52"/>
      <c r="G58" s="52"/>
      <c r="H58" s="52"/>
      <c r="I58" s="52"/>
    </row>
    <row r="59" ht="15.75" customHeight="1">
      <c r="B59" s="50" t="s">
        <v>128</v>
      </c>
      <c r="C59" s="51" t="s">
        <v>65</v>
      </c>
      <c r="D59" s="52"/>
      <c r="E59" s="52"/>
      <c r="F59" s="52"/>
      <c r="G59" s="52"/>
      <c r="H59" s="52"/>
      <c r="I59" s="52"/>
    </row>
    <row r="60" ht="15.75" customHeight="1">
      <c r="B60" s="50" t="s">
        <v>129</v>
      </c>
      <c r="C60" s="51" t="s">
        <v>65</v>
      </c>
      <c r="D60" s="52"/>
      <c r="E60" s="52"/>
      <c r="F60" s="52"/>
      <c r="G60" s="52"/>
      <c r="H60" s="52"/>
      <c r="I60" s="52"/>
    </row>
    <row r="61" ht="15.75" customHeight="1">
      <c r="B61" s="50" t="s">
        <v>130</v>
      </c>
      <c r="C61" s="51" t="s">
        <v>65</v>
      </c>
      <c r="D61" s="52"/>
      <c r="E61" s="52"/>
      <c r="F61" s="52"/>
      <c r="G61" s="52"/>
      <c r="H61" s="52"/>
      <c r="I61" s="52"/>
    </row>
    <row r="62" ht="15.75" customHeight="1">
      <c r="B62" s="50" t="s">
        <v>131</v>
      </c>
      <c r="C62" s="51" t="s">
        <v>65</v>
      </c>
      <c r="D62" s="52"/>
      <c r="E62" s="52"/>
      <c r="F62" s="52"/>
      <c r="G62" s="52"/>
      <c r="H62" s="52"/>
      <c r="I62" s="52"/>
    </row>
    <row r="63" ht="15.75" customHeight="1">
      <c r="B63" s="50" t="s">
        <v>132</v>
      </c>
      <c r="C63" s="51" t="s">
        <v>65</v>
      </c>
      <c r="D63" s="52"/>
      <c r="E63" s="52"/>
      <c r="F63" s="52"/>
      <c r="G63" s="52"/>
      <c r="H63" s="52"/>
      <c r="I63" s="52"/>
    </row>
    <row r="64" ht="15.75" customHeight="1">
      <c r="B64" s="50" t="s">
        <v>133</v>
      </c>
      <c r="C64" s="51" t="s">
        <v>65</v>
      </c>
      <c r="D64" s="52"/>
      <c r="E64" s="52"/>
      <c r="F64" s="52"/>
      <c r="G64" s="52"/>
      <c r="H64" s="52"/>
      <c r="I64" s="52"/>
    </row>
    <row r="65" ht="15.75" customHeight="1">
      <c r="B65" s="50" t="s">
        <v>134</v>
      </c>
      <c r="C65" s="51" t="s">
        <v>65</v>
      </c>
      <c r="D65" s="52"/>
      <c r="E65" s="52"/>
      <c r="F65" s="52"/>
      <c r="G65" s="52"/>
      <c r="H65" s="52"/>
      <c r="I65" s="52"/>
    </row>
    <row r="66" ht="15.75" customHeight="1">
      <c r="B66" s="50" t="s">
        <v>135</v>
      </c>
      <c r="C66" s="51" t="s">
        <v>65</v>
      </c>
      <c r="D66" s="52"/>
      <c r="E66" s="52"/>
      <c r="F66" s="52"/>
      <c r="G66" s="52"/>
      <c r="H66" s="52"/>
      <c r="I66" s="52"/>
    </row>
    <row r="67" ht="15.75" customHeight="1">
      <c r="A67" s="53" t="s">
        <v>136</v>
      </c>
      <c r="B67" s="54" t="s">
        <v>137</v>
      </c>
      <c r="C67" s="55" t="s">
        <v>65</v>
      </c>
      <c r="D67" s="56"/>
      <c r="E67" s="56"/>
      <c r="F67" s="56"/>
      <c r="G67" s="56"/>
      <c r="H67" s="56"/>
      <c r="I67" s="56"/>
    </row>
    <row r="68" ht="15.75" customHeight="1">
      <c r="B68" s="54" t="s">
        <v>138</v>
      </c>
      <c r="C68" s="55" t="s">
        <v>65</v>
      </c>
      <c r="D68" s="56"/>
      <c r="E68" s="56"/>
      <c r="F68" s="56"/>
      <c r="G68" s="56"/>
      <c r="H68" s="56"/>
      <c r="I68" s="56"/>
    </row>
    <row r="69" ht="15.75" customHeight="1">
      <c r="B69" s="54" t="s">
        <v>139</v>
      </c>
      <c r="C69" s="55" t="s">
        <v>65</v>
      </c>
      <c r="D69" s="56"/>
      <c r="E69" s="56"/>
      <c r="F69" s="56"/>
      <c r="G69" s="56"/>
      <c r="H69" s="56"/>
      <c r="I69" s="56"/>
    </row>
    <row r="70" ht="15.75" customHeight="1">
      <c r="B70" s="54" t="s">
        <v>140</v>
      </c>
      <c r="C70" s="55" t="s">
        <v>65</v>
      </c>
      <c r="D70" s="56"/>
      <c r="E70" s="56"/>
      <c r="F70" s="56"/>
      <c r="G70" s="56"/>
      <c r="H70" s="56"/>
      <c r="I70" s="56"/>
    </row>
    <row r="71" ht="15.75" customHeight="1">
      <c r="B71" s="54" t="s">
        <v>141</v>
      </c>
      <c r="C71" s="55" t="s">
        <v>65</v>
      </c>
      <c r="D71" s="56"/>
      <c r="E71" s="56"/>
      <c r="F71" s="56"/>
      <c r="G71" s="56"/>
      <c r="H71" s="56"/>
      <c r="I71" s="56"/>
    </row>
    <row r="72" ht="15.75" customHeight="1">
      <c r="B72" s="54" t="s">
        <v>142</v>
      </c>
      <c r="C72" s="55" t="s">
        <v>65</v>
      </c>
      <c r="D72" s="56"/>
      <c r="E72" s="56"/>
      <c r="F72" s="56"/>
      <c r="G72" s="56"/>
      <c r="H72" s="56"/>
      <c r="I72" s="56"/>
    </row>
    <row r="73" ht="15.75" customHeight="1">
      <c r="B73" s="54" t="s">
        <v>143</v>
      </c>
      <c r="C73" s="55" t="s">
        <v>65</v>
      </c>
      <c r="D73" s="56"/>
      <c r="E73" s="56"/>
      <c r="F73" s="56"/>
      <c r="G73" s="56"/>
      <c r="H73" s="56"/>
      <c r="I73" s="56"/>
    </row>
    <row r="74" ht="15.75" customHeight="1">
      <c r="A74" s="57" t="s">
        <v>144</v>
      </c>
      <c r="B74" s="58" t="s">
        <v>145</v>
      </c>
      <c r="C74" s="59" t="s">
        <v>65</v>
      </c>
      <c r="D74" s="60"/>
      <c r="E74" s="60"/>
      <c r="F74" s="60"/>
      <c r="G74" s="60"/>
      <c r="H74" s="60"/>
      <c r="I74" s="60"/>
    </row>
    <row r="75" ht="15.75" customHeight="1">
      <c r="B75" s="58" t="s">
        <v>146</v>
      </c>
      <c r="C75" s="59" t="s">
        <v>65</v>
      </c>
      <c r="D75" s="60"/>
      <c r="E75" s="60"/>
      <c r="F75" s="60"/>
      <c r="G75" s="60"/>
      <c r="H75" s="60"/>
      <c r="I75" s="60"/>
    </row>
    <row r="76" ht="15.75" customHeight="1">
      <c r="B76" s="58" t="s">
        <v>147</v>
      </c>
      <c r="C76" s="59" t="s">
        <v>65</v>
      </c>
      <c r="D76" s="60"/>
      <c r="E76" s="60"/>
      <c r="F76" s="60"/>
      <c r="G76" s="60"/>
      <c r="H76" s="60"/>
      <c r="I76" s="60"/>
    </row>
    <row r="77" ht="15.75" customHeight="1">
      <c r="B77" s="58" t="s">
        <v>148</v>
      </c>
      <c r="C77" s="59" t="s">
        <v>65</v>
      </c>
      <c r="D77" s="60"/>
      <c r="E77" s="60"/>
      <c r="F77" s="60"/>
      <c r="G77" s="60"/>
      <c r="H77" s="60"/>
      <c r="I77" s="60"/>
    </row>
    <row r="78" ht="15.75" customHeight="1">
      <c r="B78" s="58" t="s">
        <v>149</v>
      </c>
      <c r="C78" s="59" t="s">
        <v>65</v>
      </c>
      <c r="D78" s="60"/>
      <c r="E78" s="60"/>
      <c r="F78" s="60"/>
      <c r="G78" s="60"/>
      <c r="H78" s="60"/>
      <c r="I78" s="60"/>
    </row>
    <row r="79" ht="15.75" customHeight="1">
      <c r="B79" s="58" t="s">
        <v>150</v>
      </c>
      <c r="C79" s="59" t="s">
        <v>65</v>
      </c>
      <c r="D79" s="60"/>
      <c r="E79" s="60"/>
      <c r="F79" s="60"/>
      <c r="G79" s="60"/>
      <c r="H79" s="60"/>
      <c r="I79" s="60"/>
    </row>
    <row r="80" ht="15.75" customHeight="1">
      <c r="B80" s="58" t="s">
        <v>151</v>
      </c>
      <c r="C80" s="59" t="s">
        <v>65</v>
      </c>
      <c r="D80" s="60"/>
      <c r="E80" s="60"/>
      <c r="F80" s="60"/>
      <c r="G80" s="60"/>
      <c r="H80" s="60"/>
      <c r="I80" s="60"/>
    </row>
    <row r="81" ht="15.75" customHeight="1">
      <c r="B81" s="58" t="s">
        <v>152</v>
      </c>
      <c r="C81" s="59" t="s">
        <v>65</v>
      </c>
      <c r="D81" s="60"/>
      <c r="E81" s="60"/>
      <c r="F81" s="60"/>
      <c r="G81" s="60"/>
      <c r="H81" s="60"/>
      <c r="I81" s="60"/>
    </row>
    <row r="82" ht="15.75" customHeight="1">
      <c r="B82" s="58" t="s">
        <v>153</v>
      </c>
      <c r="C82" s="59" t="s">
        <v>65</v>
      </c>
      <c r="D82" s="60"/>
      <c r="E82" s="60"/>
      <c r="F82" s="60"/>
      <c r="G82" s="60"/>
      <c r="H82" s="60"/>
      <c r="I82" s="60"/>
    </row>
    <row r="83" ht="15.75" customHeight="1">
      <c r="A83" s="61" t="s">
        <v>154</v>
      </c>
      <c r="B83" s="62" t="s">
        <v>155</v>
      </c>
      <c r="C83" s="63" t="s">
        <v>65</v>
      </c>
      <c r="D83" s="64"/>
      <c r="E83" s="64"/>
      <c r="F83" s="64"/>
      <c r="G83" s="64"/>
      <c r="H83" s="64"/>
      <c r="I83" s="64"/>
    </row>
    <row r="84" ht="15.75" customHeight="1">
      <c r="B84" s="62" t="s">
        <v>156</v>
      </c>
      <c r="C84" s="63" t="s">
        <v>65</v>
      </c>
      <c r="D84" s="64"/>
      <c r="E84" s="64"/>
      <c r="F84" s="64"/>
      <c r="G84" s="64"/>
      <c r="H84" s="64"/>
      <c r="I84" s="64"/>
    </row>
    <row r="85" ht="15.75" customHeight="1">
      <c r="B85" s="62" t="s">
        <v>157</v>
      </c>
      <c r="C85" s="63" t="s">
        <v>65</v>
      </c>
      <c r="D85" s="64"/>
      <c r="E85" s="64"/>
      <c r="F85" s="64"/>
      <c r="G85" s="64"/>
      <c r="H85" s="64"/>
      <c r="I85" s="64"/>
    </row>
    <row r="86" ht="15.75" customHeight="1">
      <c r="B86" s="62" t="s">
        <v>158</v>
      </c>
      <c r="C86" s="63" t="s">
        <v>65</v>
      </c>
      <c r="D86" s="64"/>
      <c r="E86" s="64"/>
      <c r="F86" s="64"/>
      <c r="G86" s="64"/>
      <c r="H86" s="64"/>
      <c r="I86" s="64"/>
    </row>
    <row r="87" ht="15.75" customHeight="1">
      <c r="B87" s="62" t="s">
        <v>159</v>
      </c>
      <c r="C87" s="63" t="s">
        <v>65</v>
      </c>
      <c r="D87" s="64"/>
      <c r="E87" s="64"/>
      <c r="F87" s="64"/>
      <c r="G87" s="64"/>
      <c r="H87" s="64"/>
      <c r="I87" s="64"/>
    </row>
    <row r="88" ht="15.75" customHeight="1">
      <c r="B88" s="62" t="s">
        <v>160</v>
      </c>
      <c r="C88" s="63" t="s">
        <v>65</v>
      </c>
      <c r="D88" s="64"/>
      <c r="E88" s="64"/>
      <c r="F88" s="64"/>
      <c r="G88" s="64"/>
      <c r="H88" s="64"/>
      <c r="I88" s="64"/>
    </row>
    <row r="89" ht="15.75" customHeight="1">
      <c r="B89" s="62" t="s">
        <v>161</v>
      </c>
      <c r="C89" s="63" t="s">
        <v>65</v>
      </c>
      <c r="D89" s="64"/>
      <c r="E89" s="64"/>
      <c r="F89" s="64"/>
      <c r="G89" s="64"/>
      <c r="H89" s="64"/>
      <c r="I89" s="64"/>
    </row>
    <row r="90" ht="15.75" customHeight="1">
      <c r="B90" s="62" t="s">
        <v>162</v>
      </c>
      <c r="C90" s="63" t="s">
        <v>65</v>
      </c>
      <c r="D90" s="64"/>
      <c r="E90" s="64"/>
      <c r="F90" s="64"/>
      <c r="G90" s="64"/>
      <c r="H90" s="64"/>
      <c r="I90" s="64"/>
    </row>
    <row r="91" ht="15.75" customHeight="1">
      <c r="B91" s="62" t="s">
        <v>163</v>
      </c>
      <c r="C91" s="63" t="s">
        <v>65</v>
      </c>
      <c r="D91" s="64"/>
      <c r="E91" s="64"/>
      <c r="F91" s="64"/>
      <c r="G91" s="64"/>
      <c r="H91" s="64"/>
      <c r="I91" s="64"/>
    </row>
    <row r="92" ht="15.75" customHeight="1">
      <c r="B92" s="62" t="s">
        <v>164</v>
      </c>
      <c r="C92" s="63" t="s">
        <v>65</v>
      </c>
      <c r="D92" s="64"/>
      <c r="E92" s="64"/>
      <c r="F92" s="64"/>
      <c r="G92" s="64"/>
      <c r="H92" s="64"/>
      <c r="I92" s="64"/>
    </row>
    <row r="93" ht="15.75" customHeight="1">
      <c r="B93" s="62" t="s">
        <v>165</v>
      </c>
      <c r="C93" s="63" t="s">
        <v>65</v>
      </c>
      <c r="D93" s="64"/>
      <c r="E93" s="64"/>
      <c r="F93" s="64"/>
      <c r="G93" s="64"/>
      <c r="H93" s="64"/>
      <c r="I93" s="64"/>
    </row>
    <row r="94" ht="15.75" customHeight="1">
      <c r="A94" s="65" t="s">
        <v>166</v>
      </c>
      <c r="B94" s="66"/>
      <c r="C94" s="66"/>
      <c r="D94" s="67">
        <v>0.0</v>
      </c>
      <c r="E94" s="67">
        <v>0.0</v>
      </c>
      <c r="F94" s="67">
        <v>0.0</v>
      </c>
      <c r="G94" s="67">
        <v>0.0</v>
      </c>
      <c r="H94" s="67">
        <v>0.0</v>
      </c>
      <c r="I94" s="68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67:A73"/>
    <mergeCell ref="A74:A82"/>
    <mergeCell ref="A83:A93"/>
    <mergeCell ref="A2:A9"/>
    <mergeCell ref="A10:A24"/>
    <mergeCell ref="A25:A39"/>
    <mergeCell ref="A40:A42"/>
    <mergeCell ref="A43:A48"/>
    <mergeCell ref="A49:A54"/>
    <mergeCell ref="A55:A66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4.0"/>
    <col customWidth="1" min="3" max="4" width="13.0"/>
    <col customWidth="1" min="5" max="5" width="16.0"/>
    <col customWidth="1" min="6" max="6" width="13.0"/>
    <col customWidth="1" min="7" max="26" width="8.71"/>
  </cols>
  <sheetData>
    <row r="1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</row>
    <row r="2">
      <c r="A2" s="69" t="s">
        <v>173</v>
      </c>
      <c r="B2" s="69"/>
      <c r="C2" s="70"/>
      <c r="D2" s="70"/>
      <c r="E2" s="70"/>
      <c r="F2" s="70"/>
    </row>
    <row r="3">
      <c r="A3" s="16"/>
      <c r="B3" s="16" t="s">
        <v>174</v>
      </c>
      <c r="C3" s="7">
        <v>60.0</v>
      </c>
      <c r="D3" s="7" t="s">
        <v>23</v>
      </c>
      <c r="E3" s="7">
        <v>1000.0</v>
      </c>
      <c r="F3" s="71">
        <v>123.0</v>
      </c>
    </row>
    <row r="4">
      <c r="A4" s="16"/>
      <c r="B4" s="16" t="s">
        <v>175</v>
      </c>
      <c r="C4" s="7">
        <v>50.0</v>
      </c>
      <c r="D4" s="7" t="s">
        <v>176</v>
      </c>
      <c r="E4" s="7">
        <v>500.0</v>
      </c>
      <c r="F4" s="71">
        <v>32.0</v>
      </c>
    </row>
    <row r="5">
      <c r="A5" s="16"/>
      <c r="B5" s="16" t="s">
        <v>177</v>
      </c>
      <c r="C5" s="7">
        <v>30.0</v>
      </c>
      <c r="D5" s="7" t="s">
        <v>23</v>
      </c>
      <c r="E5" s="7">
        <v>1000.0</v>
      </c>
      <c r="F5" s="71">
        <v>45.0</v>
      </c>
    </row>
    <row r="6">
      <c r="A6" s="16"/>
      <c r="B6" s="16" t="s">
        <v>178</v>
      </c>
      <c r="C6" s="7">
        <v>30.0</v>
      </c>
      <c r="D6" s="7" t="s">
        <v>23</v>
      </c>
      <c r="E6" s="7">
        <v>1000.0</v>
      </c>
      <c r="F6" s="71">
        <v>43.0</v>
      </c>
    </row>
    <row r="7">
      <c r="A7" s="16"/>
      <c r="B7" s="16" t="s">
        <v>179</v>
      </c>
      <c r="C7" s="7">
        <v>80.0</v>
      </c>
      <c r="D7" s="7" t="s">
        <v>23</v>
      </c>
      <c r="E7" s="7">
        <v>1000.0</v>
      </c>
      <c r="F7" s="71">
        <v>12.0</v>
      </c>
    </row>
    <row r="8">
      <c r="A8" s="69" t="s">
        <v>180</v>
      </c>
      <c r="B8" s="69"/>
      <c r="C8" s="70"/>
      <c r="D8" s="70"/>
      <c r="E8" s="70"/>
      <c r="F8" s="70"/>
    </row>
    <row r="9">
      <c r="A9" s="16"/>
      <c r="B9" s="16" t="s">
        <v>181</v>
      </c>
      <c r="C9" s="7">
        <v>70.0</v>
      </c>
      <c r="D9" s="7" t="s">
        <v>23</v>
      </c>
      <c r="E9" s="7">
        <v>800.0</v>
      </c>
      <c r="F9" s="71">
        <v>234.0</v>
      </c>
    </row>
    <row r="10">
      <c r="A10" s="16"/>
      <c r="B10" s="16" t="s">
        <v>182</v>
      </c>
      <c r="C10" s="7">
        <v>70.0</v>
      </c>
      <c r="D10" s="7" t="s">
        <v>21</v>
      </c>
      <c r="E10" s="7">
        <v>338.0</v>
      </c>
      <c r="F10" s="71">
        <v>54.0</v>
      </c>
    </row>
    <row r="11">
      <c r="A11" s="16"/>
      <c r="B11" s="16" t="s">
        <v>177</v>
      </c>
      <c r="C11" s="7">
        <v>30.0</v>
      </c>
      <c r="D11" s="7" t="s">
        <v>23</v>
      </c>
      <c r="E11" s="7">
        <v>1000.0</v>
      </c>
      <c r="F11" s="71">
        <v>75.0</v>
      </c>
    </row>
    <row r="12">
      <c r="A12" s="16"/>
      <c r="B12" s="16" t="s">
        <v>178</v>
      </c>
      <c r="C12" s="7">
        <v>40.0</v>
      </c>
      <c r="D12" s="7" t="s">
        <v>23</v>
      </c>
      <c r="E12" s="7">
        <v>1000.0</v>
      </c>
      <c r="F12" s="71">
        <v>23.0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28.0"/>
    <col customWidth="1" min="4" max="5" width="11.0"/>
    <col customWidth="1" min="6" max="6" width="13.0"/>
    <col customWidth="1" min="7" max="7" width="14.0"/>
    <col customWidth="1" min="8" max="8" width="22.0"/>
    <col customWidth="1" min="9" max="9" width="13.0"/>
    <col customWidth="1" min="10" max="10" width="14.0"/>
    <col customWidth="1" min="11" max="11" width="13.0"/>
    <col customWidth="1" min="12" max="12" width="9.0"/>
    <col customWidth="1" min="13" max="13" width="3.0"/>
    <col customWidth="1" min="14" max="19" width="14.0"/>
    <col customWidth="1" min="20" max="26" width="8.71"/>
  </cols>
  <sheetData>
    <row r="1" ht="18.0" customHeight="1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</row>
    <row r="2" ht="18.0" customHeight="1">
      <c r="A2" s="3" t="s">
        <v>16</v>
      </c>
      <c r="B2" s="3" t="s">
        <v>17</v>
      </c>
      <c r="C2" s="4" t="s">
        <v>18</v>
      </c>
      <c r="D2" s="5"/>
      <c r="E2" s="5"/>
      <c r="F2" s="5"/>
      <c r="G2" s="5"/>
      <c r="H2" s="5"/>
      <c r="I2" s="5"/>
      <c r="J2" s="5"/>
      <c r="K2" s="5"/>
      <c r="L2" s="5"/>
      <c r="N2" s="6" t="s">
        <v>19</v>
      </c>
      <c r="O2" s="72">
        <v>90.0</v>
      </c>
      <c r="P2" s="72">
        <v>67.0</v>
      </c>
      <c r="Q2" s="7"/>
      <c r="R2" s="7"/>
      <c r="S2" s="7"/>
    </row>
    <row r="3" ht="18.0" customHeight="1">
      <c r="A3" s="8"/>
      <c r="B3" s="8"/>
      <c r="C3" s="9" t="s">
        <v>20</v>
      </c>
      <c r="D3" s="10">
        <v>4.0</v>
      </c>
      <c r="E3" s="11">
        <f t="shared" ref="E3:E4" si="1">D3*$P$3</f>
        <v>268</v>
      </c>
      <c r="F3" s="12" t="s">
        <v>21</v>
      </c>
      <c r="G3" s="13">
        <v>70.0</v>
      </c>
      <c r="H3" s="14"/>
      <c r="I3" s="15">
        <v>70.0</v>
      </c>
      <c r="J3" s="7">
        <f t="shared" ref="J3:J4" si="2">IF(OR(E3="",G3=""),"",ROUNDUP(E3/G3,0))</f>
        <v>4</v>
      </c>
      <c r="K3" s="7">
        <f t="shared" ref="K3:K4" si="3">IF(OR(J3="",I3=""),"",J3*I3)</f>
        <v>280</v>
      </c>
      <c r="L3" s="7"/>
      <c r="N3" s="6"/>
      <c r="O3" s="73">
        <v>90.0</v>
      </c>
      <c r="P3" s="73">
        <v>67.0</v>
      </c>
      <c r="Q3" s="7"/>
      <c r="R3" s="7"/>
      <c r="S3" s="7"/>
    </row>
    <row r="4" ht="18.0" customHeight="1">
      <c r="A4" s="8"/>
      <c r="B4" s="8"/>
      <c r="C4" s="9" t="s">
        <v>22</v>
      </c>
      <c r="D4" s="10">
        <v>50.0</v>
      </c>
      <c r="E4" s="11">
        <f t="shared" si="1"/>
        <v>3350</v>
      </c>
      <c r="F4" s="12" t="s">
        <v>23</v>
      </c>
      <c r="G4" s="13">
        <v>1000.0</v>
      </c>
      <c r="H4" s="14"/>
      <c r="I4" s="15">
        <v>100.0</v>
      </c>
      <c r="J4" s="7">
        <f t="shared" si="2"/>
        <v>4</v>
      </c>
      <c r="K4" s="7">
        <f t="shared" si="3"/>
        <v>400</v>
      </c>
      <c r="L4" s="7"/>
      <c r="N4" s="6" t="s">
        <v>24</v>
      </c>
      <c r="O4" s="74">
        <v>65.0</v>
      </c>
      <c r="P4" s="74">
        <v>34.0</v>
      </c>
      <c r="Q4" s="7"/>
      <c r="R4" s="7"/>
      <c r="S4" s="7"/>
    </row>
    <row r="5" ht="18.0" customHeight="1">
      <c r="A5" s="8"/>
      <c r="B5" s="8"/>
      <c r="C5" s="9"/>
      <c r="D5" s="10"/>
      <c r="E5" s="11"/>
      <c r="F5" s="12"/>
      <c r="G5" s="13"/>
      <c r="H5" s="14"/>
      <c r="I5" s="15"/>
      <c r="J5" s="7"/>
      <c r="K5" s="7"/>
      <c r="L5" s="7"/>
      <c r="N5" s="6"/>
      <c r="O5" s="75"/>
      <c r="P5" s="75"/>
      <c r="Q5" s="7"/>
      <c r="R5" s="7"/>
      <c r="S5" s="7"/>
    </row>
    <row r="6" ht="18.0" customHeight="1">
      <c r="A6" s="8"/>
      <c r="B6" s="8"/>
      <c r="C6" s="9" t="s">
        <v>25</v>
      </c>
      <c r="D6" s="10">
        <v>30.0</v>
      </c>
      <c r="E6" s="11">
        <f>D6*$P$3</f>
        <v>2010</v>
      </c>
      <c r="F6" s="12" t="s">
        <v>23</v>
      </c>
      <c r="G6" s="13">
        <v>1000.0</v>
      </c>
      <c r="H6" s="14"/>
      <c r="I6" s="15">
        <v>70.0</v>
      </c>
      <c r="J6" s="7">
        <f>IF(OR(E6="",G6=""),"",ROUNDUP(E6/G6,0))</f>
        <v>3</v>
      </c>
      <c r="K6" s="7">
        <f>IF(OR(J6="",I6=""),"",J6*I6)</f>
        <v>210</v>
      </c>
      <c r="L6" s="7"/>
      <c r="N6" s="6"/>
      <c r="O6" s="75"/>
      <c r="P6" s="75" t="str">
        <f>'Кто ест'!M87</f>
        <v/>
      </c>
      <c r="Q6" s="7"/>
      <c r="R6" s="7"/>
      <c r="S6" s="7"/>
    </row>
    <row r="7" ht="18.0" customHeight="1">
      <c r="A7" s="8"/>
      <c r="B7" s="8"/>
      <c r="C7" s="4" t="s">
        <v>26</v>
      </c>
      <c r="D7" s="5"/>
      <c r="E7" s="5"/>
      <c r="F7" s="5"/>
      <c r="G7" s="5"/>
      <c r="H7" s="5"/>
      <c r="I7" s="5"/>
      <c r="J7" s="5"/>
      <c r="K7" s="5"/>
      <c r="L7" s="5"/>
      <c r="N7" s="6" t="s">
        <v>27</v>
      </c>
      <c r="O7" s="11"/>
      <c r="P7" s="11" t="str">
        <f>'Кто ест'!N87</f>
        <v/>
      </c>
      <c r="Q7" s="7"/>
      <c r="R7" s="7"/>
      <c r="S7" s="7"/>
    </row>
    <row r="8" ht="18.0" customHeight="1">
      <c r="A8" s="8"/>
      <c r="B8" s="8"/>
      <c r="C8" s="16" t="s">
        <v>28</v>
      </c>
      <c r="D8" s="7"/>
      <c r="E8" s="7" t="str">
        <f t="shared" ref="E8:E9" si="4">IF(D8="","",D8*$O$2)</f>
        <v/>
      </c>
      <c r="F8" s="16"/>
      <c r="G8" s="7"/>
      <c r="H8" s="16"/>
      <c r="I8" s="7"/>
      <c r="J8" s="7" t="str">
        <f t="shared" ref="J8:J9" si="5">IF(OR(E8="",G8=""),"",ROUNDUP(E8/G8,0))</f>
        <v/>
      </c>
      <c r="K8" s="7" t="str">
        <f t="shared" ref="K8:K9" si="6">IF(OR(J8="",I8=""),"",J8*I8)</f>
        <v/>
      </c>
      <c r="L8" s="7"/>
      <c r="N8" s="6" t="s">
        <v>29</v>
      </c>
      <c r="O8" s="7"/>
      <c r="P8" s="7"/>
      <c r="Q8" s="7"/>
      <c r="R8" s="7"/>
      <c r="S8" s="7"/>
    </row>
    <row r="9" ht="18.0" customHeight="1">
      <c r="A9" s="8"/>
      <c r="B9" s="17"/>
      <c r="C9" s="16" t="s">
        <v>30</v>
      </c>
      <c r="D9" s="7"/>
      <c r="E9" s="7" t="str">
        <f t="shared" si="4"/>
        <v/>
      </c>
      <c r="F9" s="16"/>
      <c r="G9" s="7"/>
      <c r="H9" s="16"/>
      <c r="I9" s="7"/>
      <c r="J9" s="7" t="str">
        <f t="shared" si="5"/>
        <v/>
      </c>
      <c r="K9" s="7" t="str">
        <f t="shared" si="6"/>
        <v/>
      </c>
      <c r="L9" s="7"/>
      <c r="N9" s="6" t="s">
        <v>31</v>
      </c>
      <c r="O9" s="76"/>
      <c r="P9" s="7"/>
      <c r="Q9" s="7"/>
      <c r="R9" s="7"/>
      <c r="S9" s="7"/>
    </row>
    <row r="10" ht="18.0" customHeight="1">
      <c r="A10" s="8"/>
      <c r="B10" s="3" t="s">
        <v>32</v>
      </c>
      <c r="C10" s="4" t="s">
        <v>33</v>
      </c>
      <c r="D10" s="5"/>
      <c r="E10" s="5"/>
      <c r="F10" s="5"/>
      <c r="G10" s="5"/>
      <c r="H10" s="5"/>
      <c r="I10" s="5"/>
      <c r="J10" s="5"/>
      <c r="K10" s="5"/>
      <c r="L10" s="5"/>
      <c r="N10" s="6" t="s">
        <v>34</v>
      </c>
      <c r="O10" s="7"/>
      <c r="P10" s="7"/>
      <c r="Q10" s="7"/>
      <c r="R10" s="7"/>
      <c r="S10" s="7"/>
    </row>
    <row r="11" ht="18.0" customHeight="1">
      <c r="A11" s="8"/>
      <c r="B11" s="8"/>
      <c r="C11" s="16" t="s">
        <v>28</v>
      </c>
      <c r="D11" s="7"/>
      <c r="E11" s="7" t="str">
        <f t="shared" ref="E11:E13" si="7">IF(D11="","",D11*$O$2)</f>
        <v/>
      </c>
      <c r="F11" s="16"/>
      <c r="G11" s="7"/>
      <c r="H11" s="16"/>
      <c r="I11" s="7"/>
      <c r="J11" s="7" t="str">
        <f t="shared" ref="J11:J13" si="8">IF(OR(E11="",G11=""),"",ROUNDUP(E11/G11,0))</f>
        <v/>
      </c>
      <c r="K11" s="7" t="str">
        <f t="shared" ref="K11:K13" si="9">IF(OR(J11="",I11=""),"",J11*I11)</f>
        <v/>
      </c>
      <c r="L11" s="7"/>
      <c r="N11" s="6" t="s">
        <v>35</v>
      </c>
      <c r="O11" s="7"/>
      <c r="P11" s="7"/>
      <c r="Q11" s="7"/>
      <c r="R11" s="7"/>
      <c r="S11" s="7"/>
    </row>
    <row r="12" ht="18.0" customHeight="1">
      <c r="A12" s="8"/>
      <c r="B12" s="8"/>
      <c r="C12" s="16" t="s">
        <v>30</v>
      </c>
      <c r="D12" s="7"/>
      <c r="E12" s="7" t="str">
        <f t="shared" si="7"/>
        <v/>
      </c>
      <c r="F12" s="16"/>
      <c r="G12" s="7"/>
      <c r="H12" s="16"/>
      <c r="I12" s="7"/>
      <c r="J12" s="7" t="str">
        <f t="shared" si="8"/>
        <v/>
      </c>
      <c r="K12" s="7" t="str">
        <f t="shared" si="9"/>
        <v/>
      </c>
      <c r="L12" s="7"/>
      <c r="N12" s="6" t="s">
        <v>36</v>
      </c>
      <c r="O12" s="7"/>
      <c r="P12" s="7"/>
      <c r="Q12" s="7"/>
      <c r="R12" s="7"/>
      <c r="S12" s="7"/>
    </row>
    <row r="13" ht="18.0" customHeight="1">
      <c r="A13" s="17"/>
      <c r="B13" s="17"/>
      <c r="C13" s="16" t="s">
        <v>37</v>
      </c>
      <c r="D13" s="7"/>
      <c r="E13" s="7" t="str">
        <f t="shared" si="7"/>
        <v/>
      </c>
      <c r="F13" s="16"/>
      <c r="G13" s="7"/>
      <c r="H13" s="16"/>
      <c r="I13" s="7"/>
      <c r="J13" s="7" t="str">
        <f t="shared" si="8"/>
        <v/>
      </c>
      <c r="K13" s="7" t="str">
        <f t="shared" si="9"/>
        <v/>
      </c>
      <c r="L13" s="7"/>
    </row>
    <row r="14" ht="18.0" customHeight="1">
      <c r="A14" s="3" t="s">
        <v>38</v>
      </c>
      <c r="B14" s="3" t="s">
        <v>39</v>
      </c>
      <c r="C14" s="4" t="s">
        <v>40</v>
      </c>
      <c r="D14" s="5"/>
      <c r="E14" s="5"/>
      <c r="F14" s="5"/>
      <c r="G14" s="5"/>
      <c r="H14" s="5"/>
      <c r="I14" s="5"/>
      <c r="J14" s="5"/>
      <c r="K14" s="5"/>
      <c r="L14" s="5"/>
    </row>
    <row r="15" ht="18.0" customHeight="1">
      <c r="A15" s="8"/>
      <c r="B15" s="8"/>
      <c r="C15" s="16" t="s">
        <v>28</v>
      </c>
      <c r="D15" s="7"/>
      <c r="E15" s="7" t="str">
        <f t="shared" ref="E15:E16" si="10">IF(D15="","",D15*$O$2)</f>
        <v/>
      </c>
      <c r="F15" s="16"/>
      <c r="G15" s="7"/>
      <c r="H15" s="16"/>
      <c r="I15" s="7"/>
      <c r="J15" s="7" t="str">
        <f t="shared" ref="J15:J16" si="11">IF(OR(E15="",G15=""),"",ROUNDUP(E15/G15,0))</f>
        <v/>
      </c>
      <c r="K15" s="7" t="str">
        <f t="shared" ref="K15:K16" si="12">IF(OR(J15="",I15=""),"",J15*I15)</f>
        <v/>
      </c>
      <c r="L15" s="7"/>
    </row>
    <row r="16" ht="18.0" customHeight="1">
      <c r="A16" s="8"/>
      <c r="B16" s="17"/>
      <c r="C16" s="16" t="s">
        <v>30</v>
      </c>
      <c r="D16" s="7"/>
      <c r="E16" s="7" t="str">
        <f t="shared" si="10"/>
        <v/>
      </c>
      <c r="F16" s="16"/>
      <c r="G16" s="7"/>
      <c r="H16" s="16"/>
      <c r="I16" s="7"/>
      <c r="J16" s="7" t="str">
        <f t="shared" si="11"/>
        <v/>
      </c>
      <c r="K16" s="7" t="str">
        <f t="shared" si="12"/>
        <v/>
      </c>
      <c r="L16" s="7"/>
    </row>
    <row r="17" ht="18.0" customHeight="1">
      <c r="A17" s="8"/>
      <c r="B17" s="3" t="s">
        <v>17</v>
      </c>
      <c r="C17" s="4" t="s">
        <v>41</v>
      </c>
      <c r="D17" s="5"/>
      <c r="E17" s="5"/>
      <c r="F17" s="5"/>
      <c r="G17" s="5"/>
      <c r="H17" s="5"/>
      <c r="I17" s="5"/>
      <c r="J17" s="5"/>
      <c r="K17" s="5"/>
      <c r="L17" s="5"/>
    </row>
    <row r="18" ht="18.0" customHeight="1">
      <c r="A18" s="8"/>
      <c r="B18" s="8"/>
      <c r="C18" s="16" t="s">
        <v>28</v>
      </c>
      <c r="D18" s="7"/>
      <c r="E18" s="7" t="str">
        <f t="shared" ref="E18:E20" si="13">IF(D18="","",D18*$O$2)</f>
        <v/>
      </c>
      <c r="F18" s="16"/>
      <c r="G18" s="7"/>
      <c r="H18" s="16"/>
      <c r="I18" s="7"/>
      <c r="J18" s="7" t="str">
        <f t="shared" ref="J18:J20" si="14">IF(OR(E18="",G18=""),"",ROUNDUP(E18/G18,0))</f>
        <v/>
      </c>
      <c r="K18" s="7" t="str">
        <f t="shared" ref="K18:K20" si="15">IF(OR(J18="",I18=""),"",J18*I18)</f>
        <v/>
      </c>
      <c r="L18" s="7"/>
    </row>
    <row r="19" ht="18.0" customHeight="1">
      <c r="A19" s="8"/>
      <c r="B19" s="8"/>
      <c r="C19" s="16" t="s">
        <v>30</v>
      </c>
      <c r="D19" s="7"/>
      <c r="E19" s="7" t="str">
        <f t="shared" si="13"/>
        <v/>
      </c>
      <c r="F19" s="16"/>
      <c r="G19" s="7"/>
      <c r="H19" s="16"/>
      <c r="I19" s="7"/>
      <c r="J19" s="7" t="str">
        <f t="shared" si="14"/>
        <v/>
      </c>
      <c r="K19" s="7" t="str">
        <f t="shared" si="15"/>
        <v/>
      </c>
      <c r="L19" s="7"/>
    </row>
    <row r="20" ht="18.0" customHeight="1">
      <c r="A20" s="17"/>
      <c r="B20" s="17"/>
      <c r="C20" s="16" t="s">
        <v>37</v>
      </c>
      <c r="D20" s="7"/>
      <c r="E20" s="7" t="str">
        <f t="shared" si="13"/>
        <v/>
      </c>
      <c r="F20" s="16"/>
      <c r="G20" s="7"/>
      <c r="H20" s="16"/>
      <c r="I20" s="7"/>
      <c r="J20" s="7" t="str">
        <f t="shared" si="14"/>
        <v/>
      </c>
      <c r="K20" s="7" t="str">
        <f t="shared" si="15"/>
        <v/>
      </c>
      <c r="L20" s="7"/>
    </row>
    <row r="21" ht="18.0" customHeight="1">
      <c r="A21" s="18" t="s">
        <v>27</v>
      </c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ht="18.0" customHeight="1">
      <c r="A22" s="21"/>
      <c r="B22" s="21"/>
      <c r="C22" s="16" t="s">
        <v>42</v>
      </c>
      <c r="D22" s="21"/>
      <c r="E22" s="21"/>
      <c r="F22" s="21"/>
      <c r="G22" s="21"/>
      <c r="H22" s="21"/>
      <c r="I22" s="21"/>
      <c r="J22" s="21" t="str">
        <f t="shared" ref="J22:J33" si="16">IF(OR(G22="",I22=""),"",ROUNDUP(E22/G22,0))</f>
        <v/>
      </c>
      <c r="K22" s="21" t="str">
        <f t="shared" ref="K22:K33" si="17">IF(OR(J22="",I22=""),"",J22*I22)</f>
        <v/>
      </c>
      <c r="L22" s="21"/>
    </row>
    <row r="23" ht="18.0" customHeight="1">
      <c r="A23" s="21"/>
      <c r="B23" s="21"/>
      <c r="C23" s="16" t="s">
        <v>43</v>
      </c>
      <c r="D23" s="21"/>
      <c r="E23" s="21"/>
      <c r="F23" s="21"/>
      <c r="G23" s="21"/>
      <c r="H23" s="21"/>
      <c r="I23" s="21"/>
      <c r="J23" s="21" t="str">
        <f t="shared" si="16"/>
        <v/>
      </c>
      <c r="K23" s="21" t="str">
        <f t="shared" si="17"/>
        <v/>
      </c>
      <c r="L23" s="21"/>
    </row>
    <row r="24" ht="18.0" customHeight="1">
      <c r="A24" s="21"/>
      <c r="B24" s="21"/>
      <c r="C24" s="16" t="s">
        <v>44</v>
      </c>
      <c r="D24" s="21"/>
      <c r="E24" s="21"/>
      <c r="F24" s="21"/>
      <c r="G24" s="21"/>
      <c r="H24" s="21"/>
      <c r="I24" s="21"/>
      <c r="J24" s="21" t="str">
        <f t="shared" si="16"/>
        <v/>
      </c>
      <c r="K24" s="21" t="str">
        <f t="shared" si="17"/>
        <v/>
      </c>
      <c r="L24" s="21"/>
    </row>
    <row r="25" ht="18.0" customHeight="1">
      <c r="A25" s="21"/>
      <c r="B25" s="21"/>
      <c r="C25" s="16" t="s">
        <v>45</v>
      </c>
      <c r="D25" s="21"/>
      <c r="E25" s="21"/>
      <c r="F25" s="21"/>
      <c r="G25" s="21"/>
      <c r="H25" s="21"/>
      <c r="I25" s="21"/>
      <c r="J25" s="21" t="str">
        <f t="shared" si="16"/>
        <v/>
      </c>
      <c r="K25" s="21" t="str">
        <f t="shared" si="17"/>
        <v/>
      </c>
      <c r="L25" s="21"/>
    </row>
    <row r="26" ht="18.0" customHeight="1">
      <c r="A26" s="21"/>
      <c r="B26" s="21"/>
      <c r="C26" s="16" t="s">
        <v>46</v>
      </c>
      <c r="D26" s="21"/>
      <c r="E26" s="21"/>
      <c r="F26" s="21"/>
      <c r="G26" s="21"/>
      <c r="H26" s="21"/>
      <c r="I26" s="21"/>
      <c r="J26" s="21" t="str">
        <f t="shared" si="16"/>
        <v/>
      </c>
      <c r="K26" s="21" t="str">
        <f t="shared" si="17"/>
        <v/>
      </c>
      <c r="L26" s="21"/>
    </row>
    <row r="27" ht="18.0" customHeight="1">
      <c r="A27" s="21"/>
      <c r="B27" s="21"/>
      <c r="C27" s="16" t="s">
        <v>47</v>
      </c>
      <c r="D27" s="21"/>
      <c r="E27" s="21"/>
      <c r="F27" s="21"/>
      <c r="G27" s="21"/>
      <c r="H27" s="21"/>
      <c r="I27" s="21"/>
      <c r="J27" s="21" t="str">
        <f t="shared" si="16"/>
        <v/>
      </c>
      <c r="K27" s="21" t="str">
        <f t="shared" si="17"/>
        <v/>
      </c>
      <c r="L27" s="21"/>
    </row>
    <row r="28" ht="18.0" customHeight="1">
      <c r="A28" s="21"/>
      <c r="B28" s="21"/>
      <c r="C28" s="16" t="s">
        <v>48</v>
      </c>
      <c r="D28" s="21"/>
      <c r="E28" s="21"/>
      <c r="F28" s="21"/>
      <c r="G28" s="21"/>
      <c r="H28" s="21"/>
      <c r="I28" s="21"/>
      <c r="J28" s="21" t="str">
        <f t="shared" si="16"/>
        <v/>
      </c>
      <c r="K28" s="21" t="str">
        <f t="shared" si="17"/>
        <v/>
      </c>
      <c r="L28" s="21"/>
    </row>
    <row r="29" ht="18.0" customHeight="1">
      <c r="A29" s="21"/>
      <c r="B29" s="21"/>
      <c r="C29" s="16" t="s">
        <v>49</v>
      </c>
      <c r="D29" s="21"/>
      <c r="E29" s="21"/>
      <c r="F29" s="21"/>
      <c r="G29" s="21"/>
      <c r="H29" s="21"/>
      <c r="I29" s="21"/>
      <c r="J29" s="21" t="str">
        <f t="shared" si="16"/>
        <v/>
      </c>
      <c r="K29" s="21" t="str">
        <f t="shared" si="17"/>
        <v/>
      </c>
      <c r="L29" s="21"/>
    </row>
    <row r="30" ht="18.0" customHeight="1">
      <c r="A30" s="21"/>
      <c r="B30" s="21"/>
      <c r="C30" s="16" t="s">
        <v>50</v>
      </c>
      <c r="D30" s="21"/>
      <c r="E30" s="21"/>
      <c r="F30" s="21"/>
      <c r="G30" s="21"/>
      <c r="H30" s="21"/>
      <c r="I30" s="21"/>
      <c r="J30" s="21" t="str">
        <f t="shared" si="16"/>
        <v/>
      </c>
      <c r="K30" s="21" t="str">
        <f t="shared" si="17"/>
        <v/>
      </c>
      <c r="L30" s="21"/>
    </row>
    <row r="31" ht="18.0" customHeight="1">
      <c r="A31" s="21"/>
      <c r="B31" s="21"/>
      <c r="C31" s="16" t="s">
        <v>51</v>
      </c>
      <c r="D31" s="21"/>
      <c r="E31" s="21"/>
      <c r="F31" s="21"/>
      <c r="G31" s="21"/>
      <c r="H31" s="21"/>
      <c r="I31" s="21"/>
      <c r="J31" s="21" t="str">
        <f t="shared" si="16"/>
        <v/>
      </c>
      <c r="K31" s="21" t="str">
        <f t="shared" si="17"/>
        <v/>
      </c>
      <c r="L31" s="21"/>
    </row>
    <row r="32" ht="18.0" customHeight="1">
      <c r="A32" s="21"/>
      <c r="B32" s="21"/>
      <c r="C32" s="16" t="s">
        <v>52</v>
      </c>
      <c r="D32" s="21"/>
      <c r="E32" s="21"/>
      <c r="F32" s="21"/>
      <c r="G32" s="21"/>
      <c r="H32" s="21"/>
      <c r="I32" s="21"/>
      <c r="J32" s="21" t="str">
        <f t="shared" si="16"/>
        <v/>
      </c>
      <c r="K32" s="21" t="str">
        <f t="shared" si="17"/>
        <v/>
      </c>
      <c r="L32" s="21"/>
    </row>
    <row r="33" ht="18.0" customHeight="1">
      <c r="A33" s="21"/>
      <c r="B33" s="21"/>
      <c r="C33" s="16" t="s">
        <v>53</v>
      </c>
      <c r="D33" s="21"/>
      <c r="E33" s="21"/>
      <c r="F33" s="21"/>
      <c r="G33" s="21"/>
      <c r="H33" s="21"/>
      <c r="I33" s="21"/>
      <c r="J33" s="21" t="str">
        <f t="shared" si="16"/>
        <v/>
      </c>
      <c r="K33" s="21" t="str">
        <f t="shared" si="17"/>
        <v/>
      </c>
      <c r="L33" s="21"/>
    </row>
    <row r="34" ht="18.0" customHeight="1">
      <c r="A34" s="20"/>
      <c r="B34" s="20"/>
      <c r="C34" s="22" t="s">
        <v>54</v>
      </c>
      <c r="D34" s="20"/>
      <c r="E34" s="20"/>
      <c r="F34" s="20"/>
      <c r="G34" s="20"/>
      <c r="H34" s="20"/>
      <c r="I34" s="20"/>
      <c r="J34" s="20"/>
      <c r="K34" s="22">
        <f>SUM(K22:K33)</f>
        <v>0</v>
      </c>
      <c r="L34" s="20"/>
    </row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  <row r="1001" ht="18.0" customHeight="1"/>
  </sheetData>
  <mergeCells count="7">
    <mergeCell ref="B10:B13"/>
    <mergeCell ref="A14:A20"/>
    <mergeCell ref="B14:B16"/>
    <mergeCell ref="B17:B20"/>
    <mergeCell ref="A21:B21"/>
    <mergeCell ref="A2:A13"/>
    <mergeCell ref="B2:B9"/>
  </mergeCells>
  <dataValidations>
    <dataValidation type="list" allowBlank="1" showErrorMessage="1" sqref="F3:F6">
      <formula1>"г.,шт.,банок,батонов,пачка,л"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23.14"/>
    <col customWidth="1" min="3" max="3" width="20.14"/>
  </cols>
  <sheetData>
    <row r="1">
      <c r="A1" s="77" t="s">
        <v>183</v>
      </c>
    </row>
    <row r="2">
      <c r="A2" s="78" t="s">
        <v>184</v>
      </c>
    </row>
    <row r="4">
      <c r="A4" s="79" t="s">
        <v>185</v>
      </c>
      <c r="B4" s="79" t="s">
        <v>186</v>
      </c>
      <c r="C4" s="79" t="s">
        <v>187</v>
      </c>
    </row>
    <row r="5">
      <c r="A5" s="80" t="s">
        <v>66</v>
      </c>
      <c r="B5" s="81">
        <v>0.0</v>
      </c>
      <c r="C5" s="80" t="s">
        <v>188</v>
      </c>
    </row>
    <row r="6">
      <c r="A6" s="80" t="s">
        <v>67</v>
      </c>
      <c r="B6" s="81">
        <v>0.0</v>
      </c>
      <c r="C6" s="80" t="s">
        <v>188</v>
      </c>
    </row>
    <row r="7">
      <c r="A7" s="80" t="s">
        <v>68</v>
      </c>
      <c r="B7" s="81">
        <v>0.0</v>
      </c>
      <c r="C7" s="80" t="s">
        <v>188</v>
      </c>
    </row>
    <row r="8">
      <c r="A8" s="80" t="s">
        <v>69</v>
      </c>
      <c r="B8" s="81">
        <v>0.0</v>
      </c>
      <c r="C8" s="80" t="s">
        <v>188</v>
      </c>
    </row>
    <row r="9">
      <c r="A9" s="80" t="s">
        <v>70</v>
      </c>
      <c r="B9" s="81">
        <v>0.0</v>
      </c>
      <c r="C9" s="80" t="s">
        <v>188</v>
      </c>
    </row>
    <row r="10">
      <c r="A10" s="80" t="s">
        <v>71</v>
      </c>
      <c r="B10" s="81">
        <v>0.0</v>
      </c>
      <c r="C10" s="80" t="s">
        <v>188</v>
      </c>
    </row>
    <row r="11">
      <c r="A11" s="80" t="s">
        <v>72</v>
      </c>
      <c r="B11" s="81">
        <v>0.0</v>
      </c>
      <c r="C11" s="80" t="s">
        <v>188</v>
      </c>
    </row>
    <row r="12">
      <c r="A12" s="80" t="s">
        <v>74</v>
      </c>
      <c r="B12" s="81">
        <v>0.0</v>
      </c>
      <c r="C12" s="80" t="s">
        <v>188</v>
      </c>
    </row>
    <row r="13">
      <c r="A13" s="80" t="s">
        <v>75</v>
      </c>
      <c r="B13" s="81">
        <v>0.0</v>
      </c>
      <c r="C13" s="80" t="s">
        <v>188</v>
      </c>
    </row>
    <row r="14">
      <c r="A14" s="80" t="s">
        <v>76</v>
      </c>
      <c r="B14" s="81">
        <v>0.0</v>
      </c>
      <c r="C14" s="80" t="s">
        <v>188</v>
      </c>
    </row>
    <row r="15">
      <c r="A15" s="80" t="s">
        <v>77</v>
      </c>
      <c r="B15" s="81">
        <v>0.0</v>
      </c>
      <c r="C15" s="80" t="s">
        <v>188</v>
      </c>
    </row>
    <row r="16">
      <c r="A16" s="80" t="s">
        <v>78</v>
      </c>
      <c r="B16" s="81">
        <v>0.0</v>
      </c>
      <c r="C16" s="80" t="s">
        <v>188</v>
      </c>
    </row>
    <row r="17">
      <c r="A17" s="80" t="s">
        <v>79</v>
      </c>
      <c r="B17" s="81">
        <v>0.0</v>
      </c>
      <c r="C17" s="80" t="s">
        <v>188</v>
      </c>
    </row>
    <row r="18">
      <c r="A18" s="80" t="s">
        <v>80</v>
      </c>
      <c r="B18" s="81">
        <v>0.0</v>
      </c>
      <c r="C18" s="80" t="s">
        <v>188</v>
      </c>
    </row>
    <row r="19">
      <c r="A19" s="80" t="s">
        <v>81</v>
      </c>
      <c r="B19" s="81">
        <v>0.0</v>
      </c>
      <c r="C19" s="80" t="s">
        <v>188</v>
      </c>
    </row>
    <row r="20">
      <c r="A20" s="80" t="s">
        <v>82</v>
      </c>
      <c r="B20" s="81">
        <v>0.0</v>
      </c>
      <c r="C20" s="80" t="s">
        <v>188</v>
      </c>
    </row>
    <row r="21">
      <c r="A21" s="80" t="s">
        <v>83</v>
      </c>
      <c r="B21" s="81">
        <v>0.0</v>
      </c>
      <c r="C21" s="80" t="s">
        <v>188</v>
      </c>
    </row>
    <row r="22">
      <c r="A22" s="80" t="s">
        <v>84</v>
      </c>
      <c r="B22" s="81">
        <v>0.0</v>
      </c>
      <c r="C22" s="80" t="s">
        <v>188</v>
      </c>
    </row>
    <row r="23">
      <c r="A23" s="80" t="s">
        <v>85</v>
      </c>
      <c r="B23" s="81">
        <v>0.0</v>
      </c>
      <c r="C23" s="80" t="s">
        <v>188</v>
      </c>
    </row>
    <row r="24">
      <c r="A24" s="80" t="s">
        <v>86</v>
      </c>
      <c r="B24" s="81">
        <v>0.0</v>
      </c>
      <c r="C24" s="80" t="s">
        <v>188</v>
      </c>
    </row>
    <row r="25">
      <c r="A25" s="80" t="s">
        <v>87</v>
      </c>
      <c r="B25" s="81">
        <v>0.0</v>
      </c>
      <c r="C25" s="80" t="s">
        <v>188</v>
      </c>
    </row>
    <row r="26">
      <c r="A26" s="80" t="s">
        <v>88</v>
      </c>
      <c r="B26" s="81">
        <v>0.0</v>
      </c>
      <c r="C26" s="80" t="s">
        <v>188</v>
      </c>
    </row>
    <row r="27">
      <c r="A27" s="80" t="s">
        <v>90</v>
      </c>
      <c r="B27" s="81">
        <v>0.0</v>
      </c>
      <c r="C27" s="80" t="s">
        <v>188</v>
      </c>
    </row>
    <row r="28">
      <c r="A28" s="80" t="s">
        <v>91</v>
      </c>
      <c r="B28" s="81">
        <v>0.0</v>
      </c>
      <c r="C28" s="80" t="s">
        <v>188</v>
      </c>
    </row>
    <row r="29">
      <c r="A29" s="80" t="s">
        <v>92</v>
      </c>
      <c r="B29" s="81">
        <v>0.0</v>
      </c>
      <c r="C29" s="80" t="s">
        <v>188</v>
      </c>
    </row>
    <row r="30">
      <c r="A30" s="80" t="s">
        <v>93</v>
      </c>
      <c r="B30" s="81">
        <v>0.0</v>
      </c>
      <c r="C30" s="80" t="s">
        <v>188</v>
      </c>
    </row>
    <row r="31">
      <c r="A31" s="80" t="s">
        <v>94</v>
      </c>
      <c r="B31" s="81">
        <v>0.0</v>
      </c>
      <c r="C31" s="80" t="s">
        <v>188</v>
      </c>
    </row>
    <row r="32">
      <c r="A32" s="80" t="s">
        <v>95</v>
      </c>
      <c r="B32" s="81">
        <v>0.0</v>
      </c>
      <c r="C32" s="80" t="s">
        <v>188</v>
      </c>
    </row>
    <row r="33">
      <c r="A33" s="80" t="s">
        <v>96</v>
      </c>
      <c r="B33" s="81">
        <v>0.0</v>
      </c>
      <c r="C33" s="80" t="s">
        <v>188</v>
      </c>
    </row>
    <row r="34">
      <c r="A34" s="80" t="s">
        <v>97</v>
      </c>
      <c r="B34" s="81">
        <v>0.0</v>
      </c>
      <c r="C34" s="80" t="s">
        <v>188</v>
      </c>
    </row>
    <row r="35">
      <c r="A35" s="80" t="s">
        <v>98</v>
      </c>
      <c r="B35" s="81">
        <v>0.0</v>
      </c>
      <c r="C35" s="80" t="s">
        <v>188</v>
      </c>
    </row>
    <row r="36">
      <c r="A36" s="80" t="s">
        <v>99</v>
      </c>
      <c r="B36" s="81">
        <v>0.0</v>
      </c>
      <c r="C36" s="80" t="s">
        <v>188</v>
      </c>
    </row>
    <row r="37">
      <c r="A37" s="80" t="s">
        <v>100</v>
      </c>
      <c r="B37" s="81">
        <v>0.0</v>
      </c>
      <c r="C37" s="80" t="s">
        <v>188</v>
      </c>
    </row>
    <row r="38">
      <c r="A38" s="80" t="s">
        <v>101</v>
      </c>
      <c r="B38" s="81">
        <v>0.0</v>
      </c>
      <c r="C38" s="80" t="s">
        <v>188</v>
      </c>
    </row>
    <row r="39">
      <c r="A39" s="80" t="s">
        <v>102</v>
      </c>
      <c r="B39" s="81">
        <v>0.0</v>
      </c>
      <c r="C39" s="80" t="s">
        <v>188</v>
      </c>
    </row>
    <row r="40">
      <c r="A40" s="80" t="s">
        <v>103</v>
      </c>
      <c r="B40" s="81">
        <v>0.0</v>
      </c>
      <c r="C40" s="80" t="s">
        <v>188</v>
      </c>
    </row>
    <row r="41">
      <c r="A41" s="80" t="s">
        <v>104</v>
      </c>
      <c r="B41" s="81">
        <v>0.0</v>
      </c>
      <c r="C41" s="80" t="s">
        <v>188</v>
      </c>
    </row>
    <row r="42">
      <c r="A42" s="80" t="s">
        <v>106</v>
      </c>
      <c r="B42" s="81">
        <v>0.0</v>
      </c>
      <c r="C42" s="80" t="s">
        <v>188</v>
      </c>
    </row>
    <row r="43">
      <c r="A43" s="80" t="s">
        <v>107</v>
      </c>
      <c r="B43" s="81">
        <v>0.0</v>
      </c>
      <c r="C43" s="80" t="s">
        <v>188</v>
      </c>
    </row>
    <row r="44">
      <c r="A44" s="80" t="s">
        <v>108</v>
      </c>
      <c r="B44" s="81">
        <v>0.0</v>
      </c>
      <c r="C44" s="80" t="s">
        <v>188</v>
      </c>
    </row>
    <row r="45">
      <c r="A45" s="80" t="s">
        <v>110</v>
      </c>
      <c r="B45" s="81">
        <v>0.0</v>
      </c>
      <c r="C45" s="80" t="s">
        <v>188</v>
      </c>
    </row>
    <row r="46">
      <c r="A46" s="80" t="s">
        <v>111</v>
      </c>
      <c r="B46" s="81">
        <v>0.0</v>
      </c>
      <c r="C46" s="80" t="s">
        <v>188</v>
      </c>
    </row>
    <row r="47">
      <c r="A47" s="80" t="s">
        <v>112</v>
      </c>
      <c r="B47" s="81">
        <v>0.0</v>
      </c>
      <c r="C47" s="80" t="s">
        <v>188</v>
      </c>
    </row>
    <row r="48">
      <c r="A48" s="80" t="s">
        <v>113</v>
      </c>
      <c r="B48" s="81">
        <v>0.0</v>
      </c>
      <c r="C48" s="80" t="s">
        <v>188</v>
      </c>
    </row>
    <row r="49">
      <c r="A49" s="80" t="s">
        <v>114</v>
      </c>
      <c r="B49" s="81">
        <v>0.0</v>
      </c>
      <c r="C49" s="80" t="s">
        <v>188</v>
      </c>
    </row>
    <row r="50">
      <c r="A50" s="80" t="s">
        <v>115</v>
      </c>
      <c r="B50" s="81">
        <v>0.0</v>
      </c>
      <c r="C50" s="80" t="s">
        <v>188</v>
      </c>
    </row>
    <row r="51">
      <c r="A51" s="80" t="s">
        <v>117</v>
      </c>
      <c r="B51" s="81">
        <v>0.0</v>
      </c>
      <c r="C51" s="80" t="s">
        <v>188</v>
      </c>
    </row>
    <row r="52">
      <c r="A52" s="80" t="s">
        <v>118</v>
      </c>
      <c r="B52" s="81">
        <v>0.0</v>
      </c>
      <c r="C52" s="80" t="s">
        <v>188</v>
      </c>
    </row>
    <row r="53">
      <c r="A53" s="80" t="s">
        <v>119</v>
      </c>
      <c r="B53" s="81">
        <v>0.0</v>
      </c>
      <c r="C53" s="80" t="s">
        <v>188</v>
      </c>
    </row>
    <row r="54">
      <c r="A54" s="80" t="s">
        <v>120</v>
      </c>
      <c r="B54" s="81">
        <v>0.0</v>
      </c>
      <c r="C54" s="80" t="s">
        <v>188</v>
      </c>
    </row>
    <row r="55">
      <c r="A55" s="80" t="s">
        <v>121</v>
      </c>
      <c r="B55" s="81">
        <v>0.0</v>
      </c>
      <c r="C55" s="80" t="s">
        <v>188</v>
      </c>
    </row>
    <row r="56">
      <c r="A56" s="80" t="s">
        <v>122</v>
      </c>
      <c r="B56" s="81">
        <v>0.0</v>
      </c>
      <c r="C56" s="80" t="s">
        <v>188</v>
      </c>
    </row>
    <row r="57">
      <c r="A57" s="80" t="s">
        <v>124</v>
      </c>
      <c r="B57" s="81">
        <v>0.0</v>
      </c>
      <c r="C57" s="80" t="s">
        <v>188</v>
      </c>
    </row>
    <row r="58">
      <c r="A58" s="80" t="s">
        <v>125</v>
      </c>
      <c r="B58" s="81">
        <v>0.0</v>
      </c>
      <c r="C58" s="80" t="s">
        <v>188</v>
      </c>
    </row>
    <row r="59">
      <c r="A59" s="80" t="s">
        <v>126</v>
      </c>
      <c r="B59" s="81">
        <v>0.0</v>
      </c>
      <c r="C59" s="80" t="s">
        <v>188</v>
      </c>
    </row>
    <row r="60">
      <c r="A60" s="80" t="s">
        <v>127</v>
      </c>
      <c r="B60" s="81">
        <v>0.0</v>
      </c>
      <c r="C60" s="80" t="s">
        <v>188</v>
      </c>
    </row>
    <row r="61">
      <c r="A61" s="80" t="s">
        <v>128</v>
      </c>
      <c r="B61" s="81">
        <v>0.0</v>
      </c>
      <c r="C61" s="80" t="s">
        <v>188</v>
      </c>
    </row>
    <row r="62">
      <c r="A62" s="80" t="s">
        <v>129</v>
      </c>
      <c r="B62" s="81">
        <v>0.0</v>
      </c>
      <c r="C62" s="80" t="s">
        <v>188</v>
      </c>
    </row>
    <row r="63">
      <c r="A63" s="80" t="s">
        <v>130</v>
      </c>
      <c r="B63" s="81">
        <v>0.0</v>
      </c>
      <c r="C63" s="80" t="s">
        <v>188</v>
      </c>
    </row>
    <row r="64">
      <c r="A64" s="80" t="s">
        <v>131</v>
      </c>
      <c r="B64" s="81">
        <v>0.0</v>
      </c>
      <c r="C64" s="80" t="s">
        <v>188</v>
      </c>
    </row>
    <row r="65">
      <c r="A65" s="80" t="s">
        <v>132</v>
      </c>
      <c r="B65" s="81">
        <v>0.0</v>
      </c>
      <c r="C65" s="80" t="s">
        <v>188</v>
      </c>
    </row>
    <row r="66">
      <c r="A66" s="80" t="s">
        <v>133</v>
      </c>
      <c r="B66" s="81">
        <v>0.0</v>
      </c>
      <c r="C66" s="80" t="s">
        <v>188</v>
      </c>
    </row>
    <row r="67">
      <c r="A67" s="80" t="s">
        <v>134</v>
      </c>
      <c r="B67" s="81">
        <v>0.0</v>
      </c>
      <c r="C67" s="80" t="s">
        <v>188</v>
      </c>
    </row>
    <row r="68">
      <c r="A68" s="80" t="s">
        <v>135</v>
      </c>
      <c r="B68" s="81">
        <v>0.0</v>
      </c>
      <c r="C68" s="80" t="s">
        <v>188</v>
      </c>
    </row>
    <row r="69">
      <c r="A69" s="80" t="s">
        <v>137</v>
      </c>
      <c r="B69" s="81">
        <v>0.0</v>
      </c>
      <c r="C69" s="80" t="s">
        <v>188</v>
      </c>
    </row>
    <row r="70">
      <c r="A70" s="80" t="s">
        <v>138</v>
      </c>
      <c r="B70" s="81">
        <v>0.0</v>
      </c>
      <c r="C70" s="80" t="s">
        <v>188</v>
      </c>
    </row>
    <row r="71">
      <c r="A71" s="80" t="s">
        <v>139</v>
      </c>
      <c r="B71" s="81">
        <v>0.0</v>
      </c>
      <c r="C71" s="80" t="s">
        <v>188</v>
      </c>
    </row>
    <row r="72">
      <c r="A72" s="80" t="s">
        <v>140</v>
      </c>
      <c r="B72" s="81">
        <v>0.0</v>
      </c>
      <c r="C72" s="80" t="s">
        <v>188</v>
      </c>
    </row>
    <row r="73">
      <c r="A73" s="80" t="s">
        <v>141</v>
      </c>
      <c r="B73" s="81">
        <v>0.0</v>
      </c>
      <c r="C73" s="80" t="s">
        <v>188</v>
      </c>
    </row>
    <row r="74">
      <c r="A74" s="80" t="s">
        <v>142</v>
      </c>
      <c r="B74" s="81">
        <v>0.0</v>
      </c>
      <c r="C74" s="80" t="s">
        <v>188</v>
      </c>
    </row>
    <row r="75">
      <c r="A75" s="80" t="s">
        <v>143</v>
      </c>
      <c r="B75" s="81">
        <v>0.0</v>
      </c>
      <c r="C75" s="80" t="s">
        <v>188</v>
      </c>
    </row>
    <row r="76">
      <c r="A76" s="80" t="s">
        <v>145</v>
      </c>
      <c r="B76" s="81">
        <v>0.0</v>
      </c>
      <c r="C76" s="80" t="s">
        <v>188</v>
      </c>
    </row>
    <row r="77">
      <c r="A77" s="80" t="s">
        <v>146</v>
      </c>
      <c r="B77" s="81">
        <v>0.0</v>
      </c>
      <c r="C77" s="80" t="s">
        <v>188</v>
      </c>
    </row>
    <row r="78">
      <c r="A78" s="80" t="s">
        <v>147</v>
      </c>
      <c r="B78" s="81">
        <v>0.0</v>
      </c>
      <c r="C78" s="80" t="s">
        <v>188</v>
      </c>
    </row>
    <row r="79">
      <c r="A79" s="80" t="s">
        <v>148</v>
      </c>
      <c r="B79" s="81">
        <v>0.0</v>
      </c>
      <c r="C79" s="80" t="s">
        <v>188</v>
      </c>
    </row>
    <row r="80">
      <c r="A80" s="80" t="s">
        <v>149</v>
      </c>
      <c r="B80" s="81">
        <v>0.0</v>
      </c>
      <c r="C80" s="80" t="s">
        <v>188</v>
      </c>
    </row>
    <row r="81">
      <c r="A81" s="80" t="s">
        <v>150</v>
      </c>
      <c r="B81" s="81">
        <v>0.0</v>
      </c>
      <c r="C81" s="80" t="s">
        <v>188</v>
      </c>
    </row>
    <row r="82">
      <c r="A82" s="80" t="s">
        <v>151</v>
      </c>
      <c r="B82" s="81">
        <v>0.0</v>
      </c>
      <c r="C82" s="80" t="s">
        <v>188</v>
      </c>
    </row>
    <row r="83">
      <c r="A83" s="80" t="s">
        <v>152</v>
      </c>
      <c r="B83" s="81">
        <v>0.0</v>
      </c>
      <c r="C83" s="80" t="s">
        <v>188</v>
      </c>
    </row>
    <row r="84">
      <c r="A84" s="80" t="s">
        <v>153</v>
      </c>
      <c r="B84" s="81">
        <v>0.0</v>
      </c>
      <c r="C84" s="80" t="s">
        <v>188</v>
      </c>
    </row>
    <row r="85">
      <c r="A85" s="80" t="s">
        <v>155</v>
      </c>
      <c r="B85" s="81">
        <v>0.0</v>
      </c>
      <c r="C85" s="80" t="s">
        <v>188</v>
      </c>
    </row>
    <row r="86">
      <c r="A86" s="80" t="s">
        <v>156</v>
      </c>
      <c r="B86" s="81">
        <v>0.0</v>
      </c>
      <c r="C86" s="80" t="s">
        <v>188</v>
      </c>
    </row>
    <row r="87">
      <c r="A87" s="80" t="s">
        <v>157</v>
      </c>
      <c r="B87" s="81">
        <v>0.0</v>
      </c>
      <c r="C87" s="80" t="s">
        <v>188</v>
      </c>
    </row>
    <row r="88">
      <c r="A88" s="80" t="s">
        <v>158</v>
      </c>
      <c r="B88" s="81">
        <v>0.0</v>
      </c>
      <c r="C88" s="80" t="s">
        <v>188</v>
      </c>
    </row>
    <row r="89">
      <c r="A89" s="80" t="s">
        <v>159</v>
      </c>
      <c r="B89" s="81">
        <v>0.0</v>
      </c>
      <c r="C89" s="80" t="s">
        <v>188</v>
      </c>
    </row>
    <row r="90">
      <c r="A90" s="80" t="s">
        <v>160</v>
      </c>
      <c r="B90" s="81">
        <v>0.0</v>
      </c>
      <c r="C90" s="80" t="s">
        <v>188</v>
      </c>
    </row>
    <row r="91">
      <c r="A91" s="80" t="s">
        <v>161</v>
      </c>
      <c r="B91" s="81">
        <v>0.0</v>
      </c>
      <c r="C91" s="80" t="s">
        <v>188</v>
      </c>
    </row>
    <row r="92">
      <c r="A92" s="80" t="s">
        <v>162</v>
      </c>
      <c r="B92" s="81">
        <v>0.0</v>
      </c>
      <c r="C92" s="80" t="s">
        <v>188</v>
      </c>
    </row>
    <row r="93">
      <c r="A93" s="80" t="s">
        <v>163</v>
      </c>
      <c r="B93" s="81">
        <v>0.0</v>
      </c>
      <c r="C93" s="80" t="s">
        <v>188</v>
      </c>
    </row>
    <row r="94">
      <c r="A94" s="80" t="s">
        <v>164</v>
      </c>
      <c r="B94" s="81">
        <v>0.0</v>
      </c>
      <c r="C94" s="80" t="s">
        <v>188</v>
      </c>
    </row>
    <row r="95">
      <c r="A95" s="80" t="s">
        <v>165</v>
      </c>
      <c r="B95" s="81">
        <v>0.0</v>
      </c>
      <c r="C95" s="80" t="s">
        <v>188</v>
      </c>
    </row>
    <row r="96">
      <c r="A96" s="82" t="s">
        <v>189</v>
      </c>
      <c r="B96" s="83">
        <f>SUM(B5:B95)</f>
        <v>0</v>
      </c>
    </row>
  </sheetData>
  <drawing r:id="rId1"/>
</worksheet>
</file>