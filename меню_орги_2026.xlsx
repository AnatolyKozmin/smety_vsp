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ТОГО" sheetId="1" r:id="rId5"/>
    <sheet state="visible" name="список продуктов" sheetId="2" r:id="rId6"/>
    <sheet state="visible" name="граммовки" sheetId="3" r:id="rId7"/>
    <sheet state="visible" name="01.08" sheetId="4" r:id="rId8"/>
    <sheet state="visible" name="02.08" sheetId="5" r:id="rId9"/>
    <sheet state="visible" name="03.08" sheetId="6" r:id="rId10"/>
    <sheet state="visible" name="04.08" sheetId="7" r:id="rId11"/>
    <sheet state="visible" name="05.08" sheetId="8" r:id="rId12"/>
    <sheet state="visible" name="06.08" sheetId="9" r:id="rId13"/>
    <sheet state="visible" name="07.08" sheetId="10" r:id="rId14"/>
    <sheet state="visible" name="08.08" sheetId="11" r:id="rId15"/>
    <sheet state="visible" name="09.08" sheetId="12" r:id="rId16"/>
    <sheet state="visible" name="10.08" sheetId="13" r:id="rId17"/>
  </sheets>
  <definedNames/>
  <calcPr/>
</workbook>
</file>

<file path=xl/sharedStrings.xml><?xml version="1.0" encoding="utf-8"?>
<sst xmlns="http://schemas.openxmlformats.org/spreadsheetml/2006/main" count="784" uniqueCount="135">
  <si>
    <t>Продукт</t>
  </si>
  <si>
    <t>Ед. измерения</t>
  </si>
  <si>
    <t>Грамм в 1 упаковке</t>
  </si>
  <si>
    <t>Рублей за упаковку</t>
  </si>
  <si>
    <t>Срок</t>
  </si>
  <si>
    <t>ИТОГ ед. измерения</t>
  </si>
  <si>
    <t>ИТОГ УПАКОВОК</t>
  </si>
  <si>
    <t>Вода</t>
  </si>
  <si>
    <t>Долгосрочный</t>
  </si>
  <si>
    <t>Сахар</t>
  </si>
  <si>
    <t>Соль</t>
  </si>
  <si>
    <t>Масло растительное</t>
  </si>
  <si>
    <t>Чай</t>
  </si>
  <si>
    <t>кофе</t>
  </si>
  <si>
    <t>Хлеб</t>
  </si>
  <si>
    <t>Краткосрочный</t>
  </si>
  <si>
    <t>Специи</t>
  </si>
  <si>
    <t>мусорные пакеты</t>
  </si>
  <si>
    <t>упаковка</t>
  </si>
  <si>
    <t>Розжиг</t>
  </si>
  <si>
    <t>бутылка</t>
  </si>
  <si>
    <t>Металлическая губка</t>
  </si>
  <si>
    <t>Бумажные салфетки</t>
  </si>
  <si>
    <t>Влажные салфетки</t>
  </si>
  <si>
    <t>Перчатки для мытья посуды</t>
  </si>
  <si>
    <t>Моющее средство</t>
  </si>
  <si>
    <t>Губки обычные</t>
  </si>
  <si>
    <t>Рублей за ед. измерения</t>
  </si>
  <si>
    <t>Баклажан</t>
  </si>
  <si>
    <t>г</t>
  </si>
  <si>
    <t>Бананы</t>
  </si>
  <si>
    <t>Болгарский перец</t>
  </si>
  <si>
    <t>Борщевая заготовка</t>
  </si>
  <si>
    <t>пачка</t>
  </si>
  <si>
    <t>Булгур</t>
  </si>
  <si>
    <t>Вермишель</t>
  </si>
  <si>
    <t>Ветчина</t>
  </si>
  <si>
    <t>Говядина тушёная</t>
  </si>
  <si>
    <t>банка</t>
  </si>
  <si>
    <t>Гречневая крупа</t>
  </si>
  <si>
    <t>Грибная заправка</t>
  </si>
  <si>
    <t>Джем</t>
  </si>
  <si>
    <t xml:space="preserve">Дрожжи </t>
  </si>
  <si>
    <t>Заготовка для супа сухая</t>
  </si>
  <si>
    <t>Зелень (зеленый лук)</t>
  </si>
  <si>
    <t>Кабачки</t>
  </si>
  <si>
    <t>кг</t>
  </si>
  <si>
    <t>Капуста</t>
  </si>
  <si>
    <t>Картофель</t>
  </si>
  <si>
    <t>Колбаса</t>
  </si>
  <si>
    <t>палка</t>
  </si>
  <si>
    <t xml:space="preserve">Красители </t>
  </si>
  <si>
    <t>Куриное филе</t>
  </si>
  <si>
    <t>Кускус</t>
  </si>
  <si>
    <t>Лавровый лист</t>
  </si>
  <si>
    <t>Лапша (для лагмана) / Сухая яичная лапша</t>
  </si>
  <si>
    <t>Лук</t>
  </si>
  <si>
    <t>Макароны</t>
  </si>
  <si>
    <t>Маринованные огурцы</t>
  </si>
  <si>
    <t>450 нетто</t>
  </si>
  <si>
    <t>0,9/825г</t>
  </si>
  <si>
    <t>Мини томатная паста (для уч)</t>
  </si>
  <si>
    <t>Молоко</t>
  </si>
  <si>
    <t>0,9/937г</t>
  </si>
  <si>
    <t>Морковь</t>
  </si>
  <si>
    <t xml:space="preserve">Мука </t>
  </si>
  <si>
    <t>500/1000</t>
  </si>
  <si>
    <t>Овсяная крупа</t>
  </si>
  <si>
    <t>Огурцы</t>
  </si>
  <si>
    <t>Охотничьи сосиски</t>
  </si>
  <si>
    <t>паприка</t>
  </si>
  <si>
    <t>Плавленный сыр</t>
  </si>
  <si>
    <t>Помидоры</t>
  </si>
  <si>
    <t>Приправа для плова</t>
  </si>
  <si>
    <t>Разрыхлитель</t>
  </si>
  <si>
    <t>Редис</t>
  </si>
  <si>
    <t>Рис</t>
  </si>
  <si>
    <t>Сгущёнка</t>
  </si>
  <si>
    <t>Солёные огурцы</t>
  </si>
  <si>
    <t>Сосиски</t>
  </si>
  <si>
    <t xml:space="preserve">Спагетти </t>
  </si>
  <si>
    <t>Сухое молоко</t>
  </si>
  <si>
    <t>Сыр твердый</t>
  </si>
  <si>
    <t xml:space="preserve">Томатная паста </t>
  </si>
  <si>
    <t>Укроп</t>
  </si>
  <si>
    <t xml:space="preserve">Уксус </t>
  </si>
  <si>
    <t>Фасоль</t>
  </si>
  <si>
    <t>батон</t>
  </si>
  <si>
    <t>Черный молотый перец</t>
  </si>
  <si>
    <t>Чеснок молотый</t>
  </si>
  <si>
    <t>Шоколад</t>
  </si>
  <si>
    <t>Яблоки (и др сезонные фрукты)</t>
  </si>
  <si>
    <t>Яйца (30 шт)</t>
  </si>
  <si>
    <t>Название блюда</t>
  </si>
  <si>
    <t>Продукт из списка</t>
  </si>
  <si>
    <t>Количество ед.измерения на 1 человека</t>
  </si>
  <si>
    <t>ГРАММОВКИ ОБЩ</t>
  </si>
  <si>
    <t>Овсянка с джемом</t>
  </si>
  <si>
    <t>Овсянка со сгущенкой</t>
  </si>
  <si>
    <t>Оладьи с бананом</t>
  </si>
  <si>
    <t xml:space="preserve">Рис со сгущёнкой </t>
  </si>
  <si>
    <t>Бутерброды с плавленным сыром</t>
  </si>
  <si>
    <t>Бутерброды с плавленным сыром и огурцом</t>
  </si>
  <si>
    <t>Бутерброды с плавленным сыром и помидором</t>
  </si>
  <si>
    <t>Дранники</t>
  </si>
  <si>
    <t>Гренки сладкие</t>
  </si>
  <si>
    <t>Скрэмбл с сосиками и помидорами</t>
  </si>
  <si>
    <t>Суп вермишелевый</t>
  </si>
  <si>
    <t>Борщ</t>
  </si>
  <si>
    <t>Томатный суп с фасолью и тушенкой</t>
  </si>
  <si>
    <t>Грибной суп</t>
  </si>
  <si>
    <t>Сырный суп с охотнич. колбасками</t>
  </si>
  <si>
    <t>Макароны по-флотски</t>
  </si>
  <si>
    <t xml:space="preserve">Гречка с тушенкой </t>
  </si>
  <si>
    <t>Плов с курицей</t>
  </si>
  <si>
    <t>Рататуй</t>
  </si>
  <si>
    <t>Пюре с сосисками</t>
  </si>
  <si>
    <t>"Картофельная запеканка"</t>
  </si>
  <si>
    <t>Лагман</t>
  </si>
  <si>
    <t>Булгур с тушенкой и овощами</t>
  </si>
  <si>
    <t>Салат с капустой и морковью</t>
  </si>
  <si>
    <t>Салат с огурцами и помидорами</t>
  </si>
  <si>
    <t>Деревенский салат</t>
  </si>
  <si>
    <t>Шарлотка</t>
  </si>
  <si>
    <t>Лапша с сосисками</t>
  </si>
  <si>
    <t>Доширак/ролтон</t>
  </si>
  <si>
    <t>Количество человек</t>
  </si>
  <si>
    <t>Ужин</t>
  </si>
  <si>
    <t>Прочее</t>
  </si>
  <si>
    <t>Продукты:</t>
  </si>
  <si>
    <t>Ед нужно:</t>
  </si>
  <si>
    <t>Грамм нужно:</t>
  </si>
  <si>
    <t>Завтрак</t>
  </si>
  <si>
    <t xml:space="preserve">Обед </t>
  </si>
  <si>
    <t>Перекус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</si>
</sst>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₽]"/>
    <numFmt numFmtId="165" formatCode="dd.mm"/>
  </numFmts>
  <fonts count="8">
    <font>
      <sz val="10.0"/>
      <color rgb="FF000000"/>
      <name val="Arial"/>
      <scheme val="minor"/>
    </font>
    <font>
      <b/>
      <color theme="1"/>
      <name val="Montserrat"/>
    </font>
    <font>
      <color theme="1"/>
      <name val="Arial"/>
    </font>
    <font>
      <color theme="1"/>
      <name val="Montserrat"/>
    </font>
    <font>
      <sz val="11.0"/>
      <color theme="1"/>
      <name val="Montserrat"/>
    </font>
    <font/>
    <font>
      <b/>
      <sz val="14.0"/>
      <color theme="1"/>
      <name val="Montserrat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76A5AF"/>
        <bgColor rgb="FF76A5AF"/>
      </patternFill>
    </fill>
    <fill>
      <patternFill patternType="solid">
        <fgColor rgb="FFFF00FF"/>
        <bgColor rgb="FFFF00FF"/>
      </patternFill>
    </fill>
  </fills>
  <borders count="36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hair">
        <color rgb="FF000000"/>
      </bottom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hair">
        <color rgb="FF000000"/>
      </top>
      <bottom style="thick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3" fontId="1" numFmtId="0" xfId="0" applyAlignment="1" applyBorder="1" applyFill="1" applyFont="1">
      <alignment horizontal="center" shrinkToFit="0" wrapText="1"/>
    </xf>
    <xf borderId="2" fillId="4" fontId="1" numFmtId="164" xfId="0" applyAlignment="1" applyBorder="1" applyFill="1" applyFont="1" applyNumberFormat="1">
      <alignment horizontal="center" shrinkToFit="0" wrapText="1"/>
    </xf>
    <xf borderId="1" fillId="2" fontId="1" numFmtId="165" xfId="0" applyAlignment="1" applyBorder="1" applyFont="1" applyNumberFormat="1">
      <alignment horizontal="center" shrinkToFit="0" wrapText="1"/>
    </xf>
    <xf borderId="1" fillId="5" fontId="1" numFmtId="165" xfId="0" applyAlignment="1" applyBorder="1" applyFill="1" applyFont="1" applyNumberFormat="1">
      <alignment horizontal="center" shrinkToFit="0" wrapText="1"/>
    </xf>
    <xf borderId="1" fillId="6" fontId="1" numFmtId="165" xfId="0" applyAlignment="1" applyBorder="1" applyFill="1" applyFont="1" applyNumberForma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vertical="bottom"/>
    </xf>
    <xf borderId="3" fillId="7" fontId="3" numFmtId="0" xfId="0" applyAlignment="1" applyBorder="1" applyFill="1" applyFont="1">
      <alignment horizontal="center" shrinkToFit="0" wrapText="1"/>
    </xf>
    <xf borderId="4" fillId="8" fontId="3" numFmtId="0" xfId="0" applyAlignment="1" applyBorder="1" applyFill="1" applyFont="1">
      <alignment horizontal="center" shrinkToFit="0" wrapText="1"/>
    </xf>
    <xf borderId="5" fillId="8" fontId="3" numFmtId="0" xfId="0" applyAlignment="1" applyBorder="1" applyFont="1">
      <alignment horizontal="center" shrinkToFit="0" wrapText="1"/>
    </xf>
    <xf borderId="6" fillId="4" fontId="1" numFmtId="164" xfId="0" applyAlignment="1" applyBorder="1" applyFont="1" applyNumberForma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8" fillId="0" fontId="3" numFmtId="0" xfId="0" applyAlignment="1" applyBorder="1" applyFont="1">
      <alignment horizontal="center" shrinkToFit="0" wrapText="1"/>
    </xf>
    <xf borderId="9" fillId="8" fontId="3" numFmtId="0" xfId="0" applyAlignment="1" applyBorder="1" applyFont="1">
      <alignment horizontal="center" shrinkToFit="0" wrapText="1"/>
    </xf>
    <xf borderId="10" fillId="8" fontId="3" numFmtId="0" xfId="0" applyAlignment="1" applyBorder="1" applyFont="1">
      <alignment horizontal="center" shrinkToFit="0" wrapText="1"/>
    </xf>
    <xf borderId="11" fillId="4" fontId="1" numFmtId="164" xfId="0" applyAlignment="1" applyBorder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9" fillId="8" fontId="1" numFmtId="0" xfId="0" applyAlignment="1" applyBorder="1" applyFont="1">
      <alignment horizontal="center" shrinkToFit="0" wrapText="1"/>
    </xf>
    <xf borderId="10" fillId="8" fontId="1" numFmtId="0" xfId="0" applyAlignment="1" applyBorder="1" applyFont="1">
      <alignment horizontal="center" shrinkToFit="0" wrapText="1"/>
    </xf>
    <xf borderId="12" fillId="9" fontId="1" numFmtId="0" xfId="0" applyAlignment="1" applyBorder="1" applyFill="1" applyFont="1">
      <alignment horizontal="center" shrinkToFit="0" wrapText="1"/>
    </xf>
    <xf borderId="3" fillId="9" fontId="1" numFmtId="0" xfId="0" applyAlignment="1" applyBorder="1" applyFont="1">
      <alignment horizontal="center" shrinkToFit="0" wrapText="1"/>
    </xf>
    <xf borderId="13" fillId="9" fontId="1" numFmtId="0" xfId="0" applyAlignment="1" applyBorder="1" applyFont="1">
      <alignment horizontal="center" shrinkToFit="0" wrapText="1"/>
    </xf>
    <xf borderId="9" fillId="9" fontId="1" numFmtId="0" xfId="0" applyAlignment="1" applyBorder="1" applyFont="1">
      <alignment horizontal="center" shrinkToFit="0" wrapText="1"/>
    </xf>
    <xf borderId="11" fillId="9" fontId="1" numFmtId="164" xfId="0" applyAlignment="1" applyBorder="1" applyFont="1" applyNumberFormat="1">
      <alignment horizontal="center" shrinkToFit="0" wrapText="1"/>
    </xf>
    <xf borderId="7" fillId="9" fontId="1" numFmtId="0" xfId="0" applyAlignment="1" applyBorder="1" applyFont="1">
      <alignment horizontal="center" shrinkToFit="0" wrapText="1"/>
    </xf>
    <xf borderId="0" fillId="9" fontId="1" numFmtId="0" xfId="0" applyAlignment="1" applyFont="1">
      <alignment horizontal="center" shrinkToFit="0" wrapText="1"/>
    </xf>
    <xf borderId="8" fillId="9" fontId="1" numFmtId="0" xfId="0" applyAlignment="1" applyBorder="1" applyFont="1">
      <alignment horizontal="center" shrinkToFit="0" wrapText="1"/>
    </xf>
    <xf borderId="3" fillId="10" fontId="3" numFmtId="0" xfId="0" applyAlignment="1" applyBorder="1" applyFill="1" applyFont="1">
      <alignment horizontal="center" shrinkToFit="0" wrapText="1"/>
    </xf>
    <xf borderId="14" fillId="11" fontId="1" numFmtId="0" xfId="0" applyAlignment="1" applyBorder="1" applyFill="1" applyFont="1">
      <alignment horizontal="center" shrinkToFit="0" wrapText="1"/>
    </xf>
    <xf borderId="15" fillId="7" fontId="3" numFmtId="0" xfId="0" applyAlignment="1" applyBorder="1" applyFont="1">
      <alignment horizontal="center" shrinkToFit="0" wrapText="1"/>
    </xf>
    <xf borderId="15" fillId="10" fontId="3" numFmtId="0" xfId="0" applyAlignment="1" applyBorder="1" applyFont="1">
      <alignment horizontal="center" shrinkToFit="0" wrapText="1"/>
    </xf>
    <xf borderId="16" fillId="11" fontId="1" numFmtId="0" xfId="0" applyAlignment="1" applyBorder="1" applyFont="1">
      <alignment horizontal="center" shrinkToFit="0" wrapText="1"/>
    </xf>
    <xf borderId="4" fillId="8" fontId="1" numFmtId="0" xfId="0" applyAlignment="1" applyBorder="1" applyFont="1">
      <alignment horizontal="center" shrinkToFit="0" wrapText="1"/>
    </xf>
    <xf borderId="7" fillId="0" fontId="2" numFmtId="0" xfId="0" applyBorder="1" applyFont="1"/>
    <xf borderId="8" fillId="0" fontId="2" numFmtId="0" xfId="0" applyBorder="1" applyFont="1"/>
    <xf borderId="3" fillId="7" fontId="2" numFmtId="0" xfId="0" applyBorder="1" applyFont="1"/>
    <xf borderId="9" fillId="8" fontId="2" numFmtId="0" xfId="0" applyBorder="1" applyFont="1"/>
    <xf borderId="11" fillId="12" fontId="1" numFmtId="164" xfId="0" applyAlignment="1" applyBorder="1" applyFill="1" applyFont="1" applyNumberFormat="1">
      <alignment horizontal="center" shrinkToFit="0" wrapText="1"/>
    </xf>
    <xf borderId="11" fillId="4" fontId="3" numFmtId="164" xfId="0" applyAlignment="1" applyBorder="1" applyFont="1" applyNumberFormat="1">
      <alignment horizontal="center" shrinkToFit="0" wrapText="1"/>
    </xf>
    <xf borderId="0" fillId="12" fontId="1" numFmtId="164" xfId="0" applyAlignment="1" applyFont="1" applyNumberFormat="1">
      <alignment horizontal="center" shrinkToFit="0" wrapText="1"/>
    </xf>
    <xf borderId="17" fillId="8" fontId="3" numFmtId="0" xfId="0" applyAlignment="1" applyBorder="1" applyFont="1">
      <alignment horizontal="center" shrinkToFit="0" wrapText="1"/>
    </xf>
    <xf borderId="18" fillId="8" fontId="3" numFmtId="0" xfId="0" applyAlignment="1" applyBorder="1" applyFont="1">
      <alignment horizontal="center" shrinkToFit="0" wrapText="1"/>
    </xf>
    <xf borderId="19" fillId="4" fontId="3" numFmtId="164" xfId="0" applyAlignment="1" applyBorder="1" applyFont="1" applyNumberFormat="1">
      <alignment horizontal="center" shrinkToFit="0" wrapText="1"/>
    </xf>
    <xf borderId="0" fillId="8" fontId="3" numFmtId="0" xfId="0" applyAlignment="1" applyFont="1">
      <alignment horizontal="center" shrinkToFit="0" wrapText="1"/>
    </xf>
    <xf borderId="0" fillId="4" fontId="3" numFmtId="164" xfId="0" applyAlignment="1" applyFont="1" applyNumberFormat="1">
      <alignment horizontal="center" shrinkToFit="0" wrapText="1"/>
    </xf>
    <xf borderId="0" fillId="8" fontId="2" numFmtId="0" xfId="0" applyFont="1"/>
    <xf borderId="0" fillId="4" fontId="2" numFmtId="164" xfId="0" applyFont="1" applyNumberFormat="1"/>
    <xf borderId="1" fillId="13" fontId="1" numFmtId="0" xfId="0" applyAlignment="1" applyBorder="1" applyFill="1" applyFont="1">
      <alignment horizontal="center" shrinkToFit="0" vertical="center" wrapText="1"/>
    </xf>
    <xf borderId="2" fillId="13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2" fillId="14" fontId="4" numFmtId="0" xfId="0" applyAlignment="1" applyBorder="1" applyFill="1" applyFont="1">
      <alignment horizontal="center" shrinkToFit="0" vertical="center" wrapText="1"/>
    </xf>
    <xf borderId="20" fillId="14" fontId="4" numFmtId="0" xfId="0" applyAlignment="1" applyBorder="1" applyFont="1">
      <alignment horizontal="center" readingOrder="0" shrinkToFit="0" vertical="center" wrapText="1"/>
    </xf>
    <xf borderId="20" fillId="14" fontId="4" numFmtId="0" xfId="0" applyAlignment="1" applyBorder="1" applyFont="1">
      <alignment horizontal="center" shrinkToFit="0" vertical="center" wrapText="1"/>
    </xf>
    <xf borderId="20" fillId="14" fontId="3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shrinkToFit="0" vertical="center" wrapText="1"/>
    </xf>
    <xf borderId="3" fillId="14" fontId="3" numFmtId="0" xfId="0" applyAlignment="1" applyBorder="1" applyFont="1">
      <alignment horizontal="center" shrinkToFit="0" vertical="center" wrapText="1"/>
    </xf>
    <xf borderId="21" fillId="14" fontId="3" numFmtId="0" xfId="0" applyAlignment="1" applyBorder="1" applyFont="1">
      <alignment horizontal="center" readingOrder="0" shrinkToFit="0" vertical="center" wrapText="1"/>
    </xf>
    <xf borderId="21" fillId="14" fontId="3" numFmtId="0" xfId="0" applyAlignment="1" applyBorder="1" applyFont="1">
      <alignment horizontal="center" shrinkToFit="0" vertical="center" wrapText="1"/>
    </xf>
    <xf borderId="21" fillId="14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shrinkToFit="0" vertical="center" wrapText="1"/>
    </xf>
    <xf borderId="21" fillId="14" fontId="3" numFmtId="0" xfId="0" applyAlignment="1" applyBorder="1" applyFont="1">
      <alignment horizontal="center" readingOrder="0" vertical="center"/>
    </xf>
    <xf borderId="22" fillId="14" fontId="3" numFmtId="0" xfId="0" applyAlignment="1" applyBorder="1" applyFont="1">
      <alignment horizontal="center" shrinkToFit="0" vertical="center" wrapText="1"/>
    </xf>
    <xf borderId="3" fillId="14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21" fillId="14" fontId="4" numFmtId="0" xfId="0" applyAlignment="1" applyBorder="1" applyFont="1">
      <alignment horizontal="center" shrinkToFit="0" vertical="center" wrapText="1"/>
    </xf>
    <xf borderId="21" fillId="14" fontId="4" numFmtId="0" xfId="0" applyAlignment="1" applyBorder="1" applyFont="1">
      <alignment horizontal="center" vertical="center"/>
    </xf>
    <xf borderId="3" fillId="14" fontId="3" numFmtId="0" xfId="0" applyAlignment="1" applyBorder="1" applyFont="1">
      <alignment horizontal="center" vertical="center"/>
    </xf>
    <xf borderId="21" fillId="7" fontId="3" numFmtId="0" xfId="0" applyAlignment="1" applyBorder="1" applyFont="1">
      <alignment horizontal="center" vertical="center"/>
    </xf>
    <xf borderId="23" fillId="3" fontId="1" numFmtId="0" xfId="0" applyAlignment="1" applyBorder="1" applyFont="1">
      <alignment horizontal="center" shrinkToFit="0" wrapText="1"/>
    </xf>
    <xf borderId="12" fillId="3" fontId="1" numFmtId="0" xfId="0" applyAlignment="1" applyBorder="1" applyFont="1">
      <alignment horizontal="center" shrinkToFit="0" wrapText="1"/>
    </xf>
    <xf borderId="12" fillId="15" fontId="1" numFmtId="0" xfId="0" applyAlignment="1" applyBorder="1" applyFill="1" applyFont="1">
      <alignment horizontal="center" shrinkToFit="0" wrapText="1"/>
    </xf>
    <xf borderId="23" fillId="12" fontId="1" numFmtId="0" xfId="0" applyAlignment="1" applyBorder="1" applyFont="1">
      <alignment horizontal="center" shrinkToFit="0" wrapText="1"/>
    </xf>
    <xf borderId="24" fillId="15" fontId="4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center" shrinkToFit="0" wrapText="1"/>
    </xf>
    <xf borderId="25" fillId="15" fontId="3" numFmtId="0" xfId="0" applyAlignment="1" applyBorder="1" applyFont="1">
      <alignment horizontal="center" shrinkToFit="0" wrapText="1"/>
    </xf>
    <xf borderId="3" fillId="3" fontId="2" numFmtId="0" xfId="0" applyBorder="1" applyFont="1"/>
    <xf borderId="25" fillId="15" fontId="2" numFmtId="0" xfId="0" applyBorder="1" applyFont="1"/>
    <xf borderId="3" fillId="15" fontId="2" numFmtId="0" xfId="0" applyBorder="1" applyFont="1"/>
    <xf borderId="25" fillId="16" fontId="3" numFmtId="0" xfId="0" applyAlignment="1" applyBorder="1" applyFill="1" applyFont="1">
      <alignment horizontal="center" shrinkToFit="0" wrapText="1"/>
    </xf>
    <xf borderId="26" fillId="15" fontId="4" numFmtId="0" xfId="0" applyAlignment="1" applyBorder="1" applyFont="1">
      <alignment horizontal="center" shrinkToFit="0" wrapText="1"/>
    </xf>
    <xf borderId="3" fillId="3" fontId="4" numFmtId="0" xfId="0" applyAlignment="1" applyBorder="1" applyFont="1">
      <alignment horizontal="center" shrinkToFit="0" wrapText="1"/>
    </xf>
    <xf borderId="3" fillId="15" fontId="3" numFmtId="0" xfId="0" applyAlignment="1" applyBorder="1" applyFont="1">
      <alignment horizontal="center" shrinkToFit="0" wrapText="1"/>
    </xf>
    <xf borderId="25" fillId="15" fontId="3" numFmtId="0" xfId="0" applyAlignment="1" applyBorder="1" applyFont="1">
      <alignment horizontal="center" readingOrder="0" shrinkToFit="0" wrapText="1"/>
    </xf>
    <xf borderId="0" fillId="15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17" fontId="1" numFmtId="0" xfId="0" applyAlignment="1" applyBorder="1" applyFill="1" applyFont="1">
      <alignment horizontal="center" shrinkToFit="0" wrapText="1"/>
    </xf>
    <xf borderId="27" fillId="18" fontId="1" numFmtId="0" xfId="0" applyAlignment="1" applyBorder="1" applyFill="1" applyFont="1">
      <alignment horizontal="center" shrinkToFit="0" wrapText="1"/>
    </xf>
    <xf borderId="2" fillId="0" fontId="5" numFmtId="0" xfId="0" applyBorder="1" applyFont="1"/>
    <xf borderId="27" fillId="19" fontId="1" numFmtId="0" xfId="0" applyAlignment="1" applyBorder="1" applyFill="1" applyFont="1">
      <alignment horizontal="center" shrinkToFit="0" wrapText="1"/>
    </xf>
    <xf borderId="15" fillId="20" fontId="6" numFmtId="0" xfId="0" applyAlignment="1" applyBorder="1" applyFill="1" applyFont="1">
      <alignment horizontal="center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29" fillId="0" fontId="5" numFmtId="0" xfId="0" applyBorder="1" applyFont="1"/>
    <xf borderId="28" fillId="0" fontId="1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15" fillId="21" fontId="6" numFmtId="0" xfId="0" applyAlignment="1" applyBorder="1" applyFill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wrapText="1"/>
    </xf>
    <xf borderId="31" fillId="0" fontId="1" numFmtId="0" xfId="0" applyAlignment="1" applyBorder="1" applyFont="1">
      <alignment horizontal="center" shrinkToFit="0" wrapText="1"/>
    </xf>
    <xf borderId="32" fillId="0" fontId="3" numFmtId="0" xfId="0" applyAlignment="1" applyBorder="1" applyFont="1">
      <alignment horizontal="center" shrinkToFit="0" wrapText="1"/>
    </xf>
    <xf borderId="33" fillId="0" fontId="3" numFmtId="0" xfId="0" applyAlignment="1" applyBorder="1" applyFont="1">
      <alignment horizontal="center" shrinkToFit="0" wrapText="1"/>
    </xf>
    <xf borderId="15" fillId="3" fontId="6" numFmtId="0" xfId="0" applyAlignment="1" applyBorder="1" applyFont="1">
      <alignment horizontal="center" readingOrder="0" shrinkToFit="0" vertical="center" wrapText="1"/>
    </xf>
    <xf borderId="32" fillId="0" fontId="3" numFmtId="0" xfId="0" applyAlignment="1" applyBorder="1" applyFont="1">
      <alignment horizontal="center" shrinkToFit="0" vertical="center" wrapText="1"/>
    </xf>
    <xf borderId="34" fillId="0" fontId="3" numFmtId="0" xfId="0" applyAlignment="1" applyBorder="1" applyFont="1">
      <alignment horizontal="center" shrinkToFit="0" wrapText="1"/>
    </xf>
    <xf borderId="35" fillId="0" fontId="3" numFmtId="0" xfId="0" applyAlignment="1" applyBorder="1" applyFont="1">
      <alignment horizontal="center" shrinkToFit="0" wrapText="1"/>
    </xf>
    <xf borderId="1" fillId="17" fontId="1" numFmtId="0" xfId="0" applyAlignment="1" applyBorder="1" applyFont="1">
      <alignment horizontal="center" shrinkToFit="0" vertical="center" wrapText="1"/>
    </xf>
    <xf borderId="27" fillId="20" fontId="1" numFmtId="0" xfId="0" applyAlignment="1" applyBorder="1" applyFont="1">
      <alignment horizontal="center" shrinkToFit="0" vertical="center" wrapText="1"/>
    </xf>
    <xf borderId="27" fillId="21" fontId="1" numFmtId="0" xfId="0" applyAlignment="1" applyBorder="1" applyFont="1">
      <alignment horizontal="center" shrinkToFit="0" vertical="center" wrapText="1"/>
    </xf>
    <xf borderId="27" fillId="18" fontId="1" numFmtId="0" xfId="0" applyAlignment="1" applyBorder="1" applyFont="1">
      <alignment horizontal="center" shrinkToFit="0" vertical="center" wrapText="1"/>
    </xf>
    <xf borderId="27" fillId="22" fontId="1" numFmtId="0" xfId="0" applyAlignment="1" applyBorder="1" applyFill="1" applyFont="1">
      <alignment horizontal="center" shrinkToFit="0" vertical="center" wrapText="1"/>
    </xf>
    <xf borderId="27" fillId="19" fontId="1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27" fillId="20" fontId="1" numFmtId="0" xfId="0" applyAlignment="1" applyBorder="1" applyFont="1">
      <alignment horizontal="center" shrinkToFit="0" wrapText="1"/>
    </xf>
    <xf borderId="27" fillId="21" fontId="1" numFmtId="0" xfId="0" applyAlignment="1" applyBorder="1" applyFont="1">
      <alignment horizontal="center" shrinkToFit="0" wrapText="1"/>
    </xf>
    <xf borderId="27" fillId="22" fontId="1" numFmtId="0" xfId="0" applyAlignment="1" applyBorder="1" applyFont="1">
      <alignment horizontal="center" shrinkToFit="0" wrapText="1"/>
    </xf>
    <xf borderId="15" fillId="20" fontId="6" numFmtId="0" xfId="0" applyAlignment="1" applyBorder="1" applyFont="1">
      <alignment horizontal="center" shrinkToFit="0" wrapText="1"/>
    </xf>
    <xf borderId="28" fillId="0" fontId="1" numFmtId="0" xfId="0" applyAlignment="1" applyBorder="1" applyFont="1">
      <alignment horizontal="center" readingOrder="0" shrinkToFit="0" wrapText="1"/>
    </xf>
    <xf borderId="15" fillId="21" fontId="6" numFmtId="0" xfId="0" applyAlignment="1" applyBorder="1" applyFont="1">
      <alignment horizontal="center" shrinkToFit="0" wrapText="1"/>
    </xf>
    <xf borderId="15" fillId="3" fontId="6" numFmtId="0" xfId="0" applyAlignment="1" applyBorder="1" applyFont="1">
      <alignment horizontal="center" shrinkToFit="0" wrapText="1"/>
    </xf>
    <xf borderId="28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tr">
        <f>CONCATENATE("ЦЕНА ВСЕГО:        ",SUM(H2:H183))</f>
        <v>#VALUE!</v>
      </c>
      <c r="I1" s="5">
        <v>45506.0</v>
      </c>
      <c r="J1" s="5">
        <v>45507.0</v>
      </c>
      <c r="K1" s="5">
        <v>45508.0</v>
      </c>
      <c r="L1" s="5">
        <v>45509.0</v>
      </c>
      <c r="M1" s="5">
        <v>45510.0</v>
      </c>
      <c r="N1" s="6">
        <v>45511.0</v>
      </c>
      <c r="O1" s="7">
        <v>45512.0</v>
      </c>
      <c r="P1" s="7">
        <v>45513.0</v>
      </c>
      <c r="Q1" s="7">
        <v>45514.0</v>
      </c>
      <c r="R1" s="5">
        <v>45515.0</v>
      </c>
      <c r="S1" s="8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>
      <c r="A2" s="10" t="str">
        <f>'список продуктов'!A2</f>
        <v>Баклажан</v>
      </c>
      <c r="B2" s="10" t="str">
        <f>'список продуктов'!B2</f>
        <v>г</v>
      </c>
      <c r="C2" s="10">
        <f>'список продуктов'!C2</f>
        <v>1000</v>
      </c>
      <c r="D2" s="10" t="str">
        <f>'список продуктов'!D2</f>
        <v/>
      </c>
      <c r="E2" s="10" t="str">
        <f>'список продуктов'!E2</f>
        <v>Краткосрочный</v>
      </c>
      <c r="F2" s="11" t="str">
        <f t="shared" ref="F2:F17" si="1">SUM(I2:R2)</f>
        <v>#N/A</v>
      </c>
      <c r="G2" s="12" t="str">
        <f t="shared" ref="G2:G17" si="2">IFERROR(CEILING(F2/C2,1),"Введите занчения")</f>
        <v>Введите занчения</v>
      </c>
      <c r="H2" s="13" t="str">
        <f t="shared" ref="H2:H62" si="3">IFERROR(G2*D2,"Введите занчения")</f>
        <v>Введите занчения</v>
      </c>
      <c r="I2" s="14">
        <f>SUMIF('02.08'!$B$4:$B$11,A2,'02.08'!$C$4:$C$11)+SUMIF('02.08'!$D$4:$D$11,A2,'02.08'!$E$4:$E$11)+SUMIF('02.08'!$F$4:$F$11,A2,'02.08'!$G$4:$G$11)+SUMIF('02.08'!$H$4:$H$11,A2,'02.08'!$I$4:$I$11)+SUMIF('02.08'!$J$4:$J$11,A2,'02.08'!$K$4:$K$11)+SUMIF('02.08'!$L$4:$L$11,A2,'02.08'!$M$4:$M$11)+SUMIF('02.08'!$N$4:$N$11,A2,'02.08'!$O$4:$O$11)</f>
        <v>0</v>
      </c>
      <c r="J2" s="15">
        <f>SUMIF('03.08'!$B$4:$B$11,A2,'03.08'!$C$4:$C$11)+SUMIF('03.08'!$D$4:$D$11,A2,'03.08'!$E$4:$E$11)+SUMIF('03.08'!$F$4:$F$11,A2,'03.08'!$G$4:$G$11)+SUMIF('03.08'!$H$4:$H$11,A2,'03.08'!$I$4:$I$11)+SUMIF('03.08'!$J$4:$J$11,A2,'03.08'!$K$4:$K$11)+SUMIF('03.08'!$L$4:$L$11,A2,'03.08'!$M$4:$M$11)+SUMIF('03.08'!$N$4:$N$11,A2,'03.08'!$O$4:$O$11)</f>
        <v>0</v>
      </c>
      <c r="K2" s="15">
        <f>SUMIF('04.08'!$B$4:$B$11,A2,'04.08'!$C$4:$C$11)+SUMIF('04.08'!$D$4:$D$11,A2,'04.08'!$E$4:$E$11)+SUMIF('04.08'!$F$4:$F$11,A2,'04.08'!$G$4:$G$11)+SUMIF('04.08'!$H$4:$H$11,A2,'04.08'!$I$4:$I$11)+SUMIF('04.08'!$J$4:$J$11,A2,'04.08'!$K$4:$K$11)+SUMIF('04.08'!$L$4:$L$11,A2,'04.08'!$M$4:$M$11)+SUMIF('04.08'!$N$4:$N$11,A2,'04.08'!$O$4:$O$11)</f>
        <v>0</v>
      </c>
      <c r="L2" s="15">
        <f>SUMIF('05.08'!$B$4:$B$11,A2,'05.08'!$C$4:$C$11)+SUMIF('05.08'!$D$4:$D$11,A2,'05.08'!$E$4:$E$11)+SUMIF('05.08'!$F$4:$F$11,A2,'05.08'!$G$4:$G$11)+SUMIF('05.08'!$H$4:$H$11,A2,'05.08'!$I$4:$I$11)+SUMIF('05.08'!$J$4:$J$11,A2,'05.08'!$K$4:$K$11)+SUMIF('05.08'!$L$4:$L$11,A2,'05.08'!$M$4:$M$11)+SUMIF('05.08'!$N$4:$N$11,A2,'05.08'!$O$4:$O$11)</f>
        <v>0</v>
      </c>
      <c r="M2" s="15">
        <f>SUMIF('06.08'!$B$4:$B$11,A2,'06.08'!$C$4:$C$11)+SUMIF('06.08'!$D$4:$D$11,A2,'06.08'!$E$4:$E$11)+SUMIF('06.08'!$F$4:$F$11,A2,'06.08'!$G$4:$G$11)+SUMIF('06.08'!$H$4:$H$11,A2,'06.08'!$I$4:$I$11)+SUMIF('06.08'!$J$4:$J$11,A2,'06.08'!$K$4:$K$11)+SUMIF('06.08'!$L$4:$L$11,A2,'06.08'!$M$4:$M$11)+SUMIF('06.08'!$N$4:$N$11,A2,'06.08'!$O$4:$O$11)</f>
        <v>0</v>
      </c>
      <c r="N2" s="15">
        <f>SUMIF('07.08'!$B$4:$B$11,A2,'07.08'!$C$4:$C$11)+SUMIF('07.08'!$D$4:$D$11,A2,'07.08'!$E$4:$E$11)+SUMIF('07.08'!$F$4:$F$11,A2,'07.08'!$G$4:$G$11)+SUMIF('07.08'!$H$4:$H$11,A2,'07.08'!$I$4:$I$11)+SUMIF('07.08'!$J$4:$J$11,A2,'07.08'!$K$4:$K$11)+SUMIF('07.08'!$L$4:$L$11,A2,'07.08'!$M$4:$M$11)+SUMIF('07.08'!$N$4:$N$11,A2,'07.08'!$O$4:$O$11)</f>
        <v>0</v>
      </c>
      <c r="O2" s="15">
        <f>SUMIF('08.08'!$B$4:$B$11,A2,'08.08'!$C$4:$C$11)+SUMIF('08.08'!$D$4:$D$11,A2,'08.08'!$E$4:$E$11)+SUMIF('08.08'!$F$4:$F$11,A2,'08.08'!$G$4:$G$11)+SUMIF('08.08'!$H$4:$H$11,A2,'08.08'!$I$4:$I$11)+SUMIF('08.08'!$J$4:$J$11,A2,'08.08'!$K$4:$K$11)+SUMIF('08.08'!$L$4:$L$11,A2,'08.08'!$M$4:$M$11)+SUMIF('08.08'!$N$4:$N$11,A2,'08.08'!$O$4:$O$11)</f>
        <v>0</v>
      </c>
      <c r="P2" s="15">
        <f>SUMIF('09.08'!$B$4:$B$11,A2,'09.08'!$C$4:$C$11)+SUMIF('09.08'!$D$4:$D$11,A2,'09.08'!$E$4:$E$11)+SUMIF('09.08'!$F$4:$F$11,A2,'09.08'!$G$4:$G$11)+SUMIF('09.08'!$H$4:$H$11,A2,'09.08'!$I$4:$I$11)+SUMIF('09.08'!$J$4:$J$11,A2,'09.08'!$K$4:$K$11)+SUMIF('09.08'!$L$4:$L$11,A2,'09.08'!$M$4:$M$11)+SUMIF('09.08'!$N$4:$N$11,A2,'09.08'!$O$4:$O$11)</f>
        <v>0</v>
      </c>
      <c r="Q2" s="15">
        <f>SUMIF('10.08'!$B$4:$B$11,A2,'10.08'!$C$4:$C$11)+SUMIF('10.08'!$D$4:$D$11,A2,'10.08'!$E$4:$E$11)+SUMIF('10.08'!$F$4:$F$11,A2,'10.08'!$G$4:$G$11)+SUMIF('10.08'!$H$4:$H$11,A2,'10.08'!$I$4:$I$11)+SUMIF('10.08'!$J$4:$J$11,A2,'10.08'!$K$4:$K$11)+SUMIF('10.08'!$L$4:$L$11,A2,'10.08'!$M$4:$M$11)+SUMIF('10.08'!$N$4:$N$11,A2,'10.08'!$O$4:$O$11)</f>
        <v>0</v>
      </c>
      <c r="R2" s="16" t="str">
        <f t="shared" ref="R2:R46" si="4">SUMIF('11.08'!$B$4:$B$11,A2,'11.08'!$C$4:$C$11)+SUMIF('11.08'!$D$4:$D$11,A2,'11.08'!$E$4:$E$11)+SUMIF('11.08'!$F$4:$F$11,A2,'11.08'!$G$4:$G$11)+SUMIF('11.08'!$H$4:$H$11,A2,'11.08'!$I$4:$I$11)+SUMIF('11.08'!$J$4:$J$11,A2,'11.08'!$K$4:$K$11)+SUMIF('11.08'!$L$4:$L$11,A2,'11.08'!$M$4:$M$11)+SUMIF('11.08'!$N$4:$N$11,A2,'11.08'!$O$4:$O$11)</f>
        <v>#N/A</v>
      </c>
      <c r="S2" s="8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10" t="str">
        <f>'список продуктов'!A3</f>
        <v>Бананы</v>
      </c>
      <c r="B3" s="10" t="str">
        <f>'список продуктов'!B3</f>
        <v>г</v>
      </c>
      <c r="C3" s="10">
        <f>'список продуктов'!C3</f>
        <v>1000</v>
      </c>
      <c r="D3" s="10" t="str">
        <f>'список продуктов'!D3</f>
        <v/>
      </c>
      <c r="E3" s="10" t="str">
        <f>'список продуктов'!E3</f>
        <v>Краткосрочный</v>
      </c>
      <c r="F3" s="17" t="str">
        <f t="shared" si="1"/>
        <v>#N/A</v>
      </c>
      <c r="G3" s="18" t="str">
        <f t="shared" si="2"/>
        <v>Введите занчения</v>
      </c>
      <c r="H3" s="19" t="str">
        <f t="shared" si="3"/>
        <v>Введите занчения</v>
      </c>
      <c r="I3" s="14">
        <f>SUMIF('02.08'!$B$4:$B$11,A3,'02.08'!$C$4:$C$11)+SUMIF('02.08'!$D$4:$D$11,A3,'02.08'!$E$4:$E$11)+SUMIF('02.08'!$F$4:$F$11,A3,'02.08'!$G$4:$G$11)+SUMIF('02.08'!$H$4:$H$11,A3,'02.08'!$I$4:$I$11)+SUMIF('02.08'!$J$4:$J$11,A3,'02.08'!$K$4:$K$11)+SUMIF('02.08'!$L$4:$L$11,A3,'02.08'!$M$4:$M$11)+SUMIF('02.08'!$N$4:$N$11,A3,'02.08'!$O$4:$O$11)</f>
        <v>0</v>
      </c>
      <c r="J3" s="15">
        <f>SUMIF('03.08'!$B$4:$B$11,A3,'03.08'!$C$4:$C$11)+SUMIF('03.08'!$D$4:$D$11,A3,'03.08'!$E$4:$E$11)+SUMIF('03.08'!$F$4:$F$11,A3,'03.08'!$G$4:$G$11)+SUMIF('03.08'!$H$4:$H$11,A3,'03.08'!$I$4:$I$11)+SUMIF('03.08'!$J$4:$J$11,A3,'03.08'!$K$4:$K$11)+SUMIF('03.08'!$L$4:$L$11,A3,'03.08'!$M$4:$M$11)+SUMIF('03.08'!$N$4:$N$11,A3,'03.08'!$O$4:$O$11)</f>
        <v>0</v>
      </c>
      <c r="K3" s="15">
        <f>SUMIF('04.08'!$B$4:$B$11,A3,'04.08'!$C$4:$C$11)+SUMIF('04.08'!$D$4:$D$11,A3,'04.08'!$E$4:$E$11)+SUMIF('04.08'!$F$4:$F$11,A3,'04.08'!$G$4:$G$11)+SUMIF('04.08'!$H$4:$H$11,A3,'04.08'!$I$4:$I$11)+SUMIF('04.08'!$J$4:$J$11,A3,'04.08'!$K$4:$K$11)+SUMIF('04.08'!$L$4:$L$11,A3,'04.08'!$M$4:$M$11)+SUMIF('04.08'!$N$4:$N$11,A3,'04.08'!$O$4:$O$11)</f>
        <v>0</v>
      </c>
      <c r="L3" s="15">
        <f>SUMIF('05.08'!$B$4:$B$11,A3,'05.08'!$C$4:$C$11)+SUMIF('05.08'!$D$4:$D$11,A3,'05.08'!$E$4:$E$11)+SUMIF('05.08'!$F$4:$F$11,A3,'05.08'!$G$4:$G$11)+SUMIF('05.08'!$H$4:$H$11,A3,'05.08'!$I$4:$I$11)+SUMIF('05.08'!$J$4:$J$11,A3,'05.08'!$K$4:$K$11)+SUMIF('05.08'!$L$4:$L$11,A3,'05.08'!$M$4:$M$11)+SUMIF('05.08'!$N$4:$N$11,A3,'05.08'!$O$4:$O$11)</f>
        <v>0</v>
      </c>
      <c r="M3" s="15">
        <f>SUMIF('06.08'!$B$4:$B$11,A3,'06.08'!$C$4:$C$11)+SUMIF('06.08'!$D$4:$D$11,A3,'06.08'!$E$4:$E$11)+SUMIF('06.08'!$F$4:$F$11,A3,'06.08'!$G$4:$G$11)+SUMIF('06.08'!$H$4:$H$11,A3,'06.08'!$I$4:$I$11)+SUMIF('06.08'!$J$4:$J$11,A3,'06.08'!$K$4:$K$11)+SUMIF('06.08'!$L$4:$L$11,A3,'06.08'!$M$4:$M$11)+SUMIF('06.08'!$N$4:$N$11,A3,'06.08'!$O$4:$O$11)</f>
        <v>0</v>
      </c>
      <c r="N3" s="15">
        <f>SUMIF('07.08'!$B$4:$B$11,A3,'07.08'!$C$4:$C$11)+SUMIF('07.08'!$D$4:$D$11,A3,'07.08'!$E$4:$E$11)+SUMIF('07.08'!$F$4:$F$11,A3,'07.08'!$G$4:$G$11)+SUMIF('07.08'!$H$4:$H$11,A3,'07.08'!$I$4:$I$11)+SUMIF('07.08'!$J$4:$J$11,A3,'07.08'!$K$4:$K$11)+SUMIF('07.08'!$L$4:$L$11,A3,'07.08'!$M$4:$M$11)+SUMIF('07.08'!$N$4:$N$11,A3,'07.08'!$O$4:$O$11)</f>
        <v>0</v>
      </c>
      <c r="O3" s="15">
        <f>SUMIF('08.08'!$B$4:$B$11,A3,'08.08'!$C$4:$C$11)+SUMIF('08.08'!$D$4:$D$11,A3,'08.08'!$E$4:$E$11)+SUMIF('08.08'!$F$4:$F$11,A3,'08.08'!$G$4:$G$11)+SUMIF('08.08'!$H$4:$H$11,A3,'08.08'!$I$4:$I$11)+SUMIF('08.08'!$J$4:$J$11,A3,'08.08'!$K$4:$K$11)+SUMIF('08.08'!$L$4:$L$11,A3,'08.08'!$M$4:$M$11)+SUMIF('08.08'!$N$4:$N$11,A3,'08.08'!$O$4:$O$11)</f>
        <v>0</v>
      </c>
      <c r="P3" s="15">
        <f>SUMIF('09.08'!$B$4:$B$11,A3,'09.08'!$C$4:$C$11)+SUMIF('09.08'!$D$4:$D$11,A3,'09.08'!$E$4:$E$11)+SUMIF('09.08'!$F$4:$F$11,A3,'09.08'!$G$4:$G$11)+SUMIF('09.08'!$H$4:$H$11,A3,'09.08'!$I$4:$I$11)+SUMIF('09.08'!$J$4:$J$11,A3,'09.08'!$K$4:$K$11)+SUMIF('09.08'!$L$4:$L$11,A3,'09.08'!$M$4:$M$11)+SUMIF('09.08'!$N$4:$N$11,A3,'09.08'!$O$4:$O$11)</f>
        <v>0</v>
      </c>
      <c r="Q3" s="15">
        <f>SUMIF('10.08'!$B$4:$B$11,A3,'10.08'!$C$4:$C$11)+SUMIF('10.08'!$D$4:$D$11,A3,'10.08'!$E$4:$E$11)+SUMIF('10.08'!$F$4:$F$11,A3,'10.08'!$G$4:$G$11)+SUMIF('10.08'!$H$4:$H$11,A3,'10.08'!$I$4:$I$11)+SUMIF('10.08'!$J$4:$J$11,A3,'10.08'!$K$4:$K$11)+SUMIF('10.08'!$L$4:$L$11,A3,'10.08'!$M$4:$M$11)+SUMIF('10.08'!$N$4:$N$11,A3,'10.08'!$O$4:$O$11)</f>
        <v>0</v>
      </c>
      <c r="R3" s="16" t="str">
        <f t="shared" si="4"/>
        <v>#N/A</v>
      </c>
      <c r="S3" s="8"/>
      <c r="T3" s="20">
        <f>133261-H47</f>
        <v>133261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>
      <c r="A4" s="10" t="str">
        <f>'список продуктов'!A5</f>
        <v>Борщевая заготовка</v>
      </c>
      <c r="B4" s="10" t="str">
        <f>'список продуктов'!B5</f>
        <v>пачка</v>
      </c>
      <c r="C4" s="10">
        <f>'список продуктов'!C5</f>
        <v>250</v>
      </c>
      <c r="D4" s="10" t="str">
        <f>'список продуктов'!D5</f>
        <v/>
      </c>
      <c r="E4" s="10" t="str">
        <f>'список продуктов'!E5</f>
        <v>Долгосрочный</v>
      </c>
      <c r="F4" s="21" t="str">
        <f t="shared" si="1"/>
        <v>#N/A</v>
      </c>
      <c r="G4" s="22" t="str">
        <f t="shared" si="2"/>
        <v>Введите занчения</v>
      </c>
      <c r="H4" s="19" t="str">
        <f t="shared" si="3"/>
        <v>Введите занчения</v>
      </c>
      <c r="I4" s="14">
        <f>SUMIF('02.08'!$B$4:$B$11,A4,'02.08'!$C$4:$C$11)+SUMIF('02.08'!$D$4:$D$11,A4,'02.08'!$E$4:$E$11)+SUMIF('02.08'!$F$4:$F$11,A4,'02.08'!$G$4:$G$11)+SUMIF('02.08'!$H$4:$H$11,A4,'02.08'!$I$4:$I$11)+SUMIF('02.08'!$J$4:$J$11,A4,'02.08'!$K$4:$K$11)+SUMIF('02.08'!$L$4:$L$11,A4,'02.08'!$M$4:$M$11)+SUMIF('02.08'!$N$4:$N$11,A4,'02.08'!$O$4:$O$11)</f>
        <v>0</v>
      </c>
      <c r="J4" s="15">
        <f>SUMIF('03.08'!$B$4:$B$11,A4,'03.08'!$C$4:$C$11)+SUMIF('03.08'!$D$4:$D$11,A4,'03.08'!$E$4:$E$11)+SUMIF('03.08'!$F$4:$F$11,A4,'03.08'!$G$4:$G$11)+SUMIF('03.08'!$H$4:$H$11,A4,'03.08'!$I$4:$I$11)+SUMIF('03.08'!$J$4:$J$11,A4,'03.08'!$K$4:$K$11)+SUMIF('03.08'!$L$4:$L$11,A4,'03.08'!$M$4:$M$11)+SUMIF('03.08'!$N$4:$N$11,A4,'03.08'!$O$4:$O$11)</f>
        <v>0</v>
      </c>
      <c r="K4" s="15">
        <f>SUMIF('04.08'!$B$4:$B$11,A4,'04.08'!$C$4:$C$11)+SUMIF('04.08'!$D$4:$D$11,A4,'04.08'!$E$4:$E$11)+SUMIF('04.08'!$F$4:$F$11,A4,'04.08'!$G$4:$G$11)+SUMIF('04.08'!$H$4:$H$11,A4,'04.08'!$I$4:$I$11)+SUMIF('04.08'!$J$4:$J$11,A4,'04.08'!$K$4:$K$11)+SUMIF('04.08'!$L$4:$L$11,A4,'04.08'!$M$4:$M$11)+SUMIF('04.08'!$N$4:$N$11,A4,'04.08'!$O$4:$O$11)</f>
        <v>0</v>
      </c>
      <c r="L4" s="15">
        <f>SUMIF('05.08'!$B$4:$B$11,A4,'05.08'!$C$4:$C$11)+SUMIF('05.08'!$D$4:$D$11,A4,'05.08'!$E$4:$E$11)+SUMIF('05.08'!$F$4:$F$11,A4,'05.08'!$G$4:$G$11)+SUMIF('05.08'!$H$4:$H$11,A4,'05.08'!$I$4:$I$11)+SUMIF('05.08'!$J$4:$J$11,A4,'05.08'!$K$4:$K$11)+SUMIF('05.08'!$L$4:$L$11,A4,'05.08'!$M$4:$M$11)+SUMIF('05.08'!$N$4:$N$11,A4,'05.08'!$O$4:$O$11)</f>
        <v>0</v>
      </c>
      <c r="M4" s="15">
        <f>SUMIF('06.08'!$B$4:$B$11,A4,'06.08'!$C$4:$C$11)+SUMIF('06.08'!$D$4:$D$11,A4,'06.08'!$E$4:$E$11)+SUMIF('06.08'!$F$4:$F$11,A4,'06.08'!$G$4:$G$11)+SUMIF('06.08'!$H$4:$H$11,A4,'06.08'!$I$4:$I$11)+SUMIF('06.08'!$J$4:$J$11,A4,'06.08'!$K$4:$K$11)+SUMIF('06.08'!$L$4:$L$11,A4,'06.08'!$M$4:$M$11)+SUMIF('06.08'!$N$4:$N$11,A4,'06.08'!$O$4:$O$11)</f>
        <v>0</v>
      </c>
      <c r="N4" s="15">
        <f>SUMIF('07.08'!$B$4:$B$11,A4,'07.08'!$C$4:$C$11)+SUMIF('07.08'!$D$4:$D$11,A4,'07.08'!$E$4:$E$11)+SUMIF('07.08'!$F$4:$F$11,A4,'07.08'!$G$4:$G$11)+SUMIF('07.08'!$H$4:$H$11,A4,'07.08'!$I$4:$I$11)+SUMIF('07.08'!$J$4:$J$11,A4,'07.08'!$K$4:$K$11)+SUMIF('07.08'!$L$4:$L$11,A4,'07.08'!$M$4:$M$11)+SUMIF('07.08'!$N$4:$N$11,A4,'07.08'!$O$4:$O$11)</f>
        <v>0</v>
      </c>
      <c r="O4" s="15">
        <f>SUMIF('08.08'!$B$4:$B$11,A4,'08.08'!$C$4:$C$11)+SUMIF('08.08'!$D$4:$D$11,A4,'08.08'!$E$4:$E$11)+SUMIF('08.08'!$F$4:$F$11,A4,'08.08'!$G$4:$G$11)+SUMIF('08.08'!$H$4:$H$11,A4,'08.08'!$I$4:$I$11)+SUMIF('08.08'!$J$4:$J$11,A4,'08.08'!$K$4:$K$11)+SUMIF('08.08'!$L$4:$L$11,A4,'08.08'!$M$4:$M$11)+SUMIF('08.08'!$N$4:$N$11,A4,'08.08'!$O$4:$O$11)</f>
        <v>0</v>
      </c>
      <c r="P4" s="15">
        <f>SUMIF('09.08'!$B$4:$B$11,A4,'09.08'!$C$4:$C$11)+SUMIF('09.08'!$D$4:$D$11,A4,'09.08'!$E$4:$E$11)+SUMIF('09.08'!$F$4:$F$11,A4,'09.08'!$G$4:$G$11)+SUMIF('09.08'!$H$4:$H$11,A4,'09.08'!$I$4:$I$11)+SUMIF('09.08'!$J$4:$J$11,A4,'09.08'!$K$4:$K$11)+SUMIF('09.08'!$L$4:$L$11,A4,'09.08'!$M$4:$M$11)+SUMIF('09.08'!$N$4:$N$11,A4,'09.08'!$O$4:$O$11)</f>
        <v>0</v>
      </c>
      <c r="Q4" s="15">
        <f>SUMIF('10.08'!$B$4:$B$11,A4,'10.08'!$C$4:$C$11)+SUMIF('10.08'!$D$4:$D$11,A4,'10.08'!$E$4:$E$11)+SUMIF('10.08'!$F$4:$F$11,A4,'10.08'!$G$4:$G$11)+SUMIF('10.08'!$H$4:$H$11,A4,'10.08'!$I$4:$I$11)+SUMIF('10.08'!$J$4:$J$11,A4,'10.08'!$K$4:$K$11)+SUMIF('10.08'!$L$4:$L$11,A4,'10.08'!$M$4:$M$11)+SUMIF('10.08'!$N$4:$N$11,A4,'10.08'!$O$4:$O$11)</f>
        <v>0</v>
      </c>
      <c r="R4" s="16" t="str">
        <f t="shared" si="4"/>
        <v>#N/A</v>
      </c>
      <c r="S4" s="8"/>
      <c r="T4" s="8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>
      <c r="A5" s="10" t="str">
        <f>'список продуктов'!A6</f>
        <v>Булгур</v>
      </c>
      <c r="B5" s="10" t="str">
        <f>'список продуктов'!B6</f>
        <v>пачка</v>
      </c>
      <c r="C5" s="10">
        <f>'список продуктов'!C6</f>
        <v>500</v>
      </c>
      <c r="D5" s="10" t="str">
        <f>'список продуктов'!D6</f>
        <v/>
      </c>
      <c r="E5" s="10" t="str">
        <f>'список продуктов'!E6</f>
        <v>Долгосрочный</v>
      </c>
      <c r="F5" s="17" t="str">
        <f t="shared" si="1"/>
        <v>#N/A</v>
      </c>
      <c r="G5" s="18" t="str">
        <f t="shared" si="2"/>
        <v>Введите занчения</v>
      </c>
      <c r="H5" s="19" t="str">
        <f t="shared" si="3"/>
        <v>Введите занчения</v>
      </c>
      <c r="I5" s="14">
        <f>SUMIF('02.08'!$B$4:$B$11,A5,'02.08'!$C$4:$C$11)+SUMIF('02.08'!$D$4:$D$11,A5,'02.08'!$E$4:$E$11)+SUMIF('02.08'!$F$4:$F$11,A5,'02.08'!$G$4:$G$11)+SUMIF('02.08'!$H$4:$H$11,A5,'02.08'!$I$4:$I$11)+SUMIF('02.08'!$J$4:$J$11,A5,'02.08'!$K$4:$K$11)+SUMIF('02.08'!$L$4:$L$11,A5,'02.08'!$M$4:$M$11)+SUMIF('02.08'!$N$4:$N$11,A5,'02.08'!$O$4:$O$11)</f>
        <v>0</v>
      </c>
      <c r="J5" s="15">
        <f>SUMIF('03.08'!$B$4:$B$11,A5,'03.08'!$C$4:$C$11)+SUMIF('03.08'!$D$4:$D$11,A5,'03.08'!$E$4:$E$11)+SUMIF('03.08'!$F$4:$F$11,A5,'03.08'!$G$4:$G$11)+SUMIF('03.08'!$H$4:$H$11,A5,'03.08'!$I$4:$I$11)+SUMIF('03.08'!$J$4:$J$11,A5,'03.08'!$K$4:$K$11)+SUMIF('03.08'!$L$4:$L$11,A5,'03.08'!$M$4:$M$11)+SUMIF('03.08'!$N$4:$N$11,A5,'03.08'!$O$4:$O$11)</f>
        <v>0</v>
      </c>
      <c r="K5" s="15">
        <f>SUMIF('04.08'!$B$4:$B$11,A5,'04.08'!$C$4:$C$11)+SUMIF('04.08'!$D$4:$D$11,A5,'04.08'!$E$4:$E$11)+SUMIF('04.08'!$F$4:$F$11,A5,'04.08'!$G$4:$G$11)+SUMIF('04.08'!$H$4:$H$11,A5,'04.08'!$I$4:$I$11)+SUMIF('04.08'!$J$4:$J$11,A5,'04.08'!$K$4:$K$11)+SUMIF('04.08'!$L$4:$L$11,A5,'04.08'!$M$4:$M$11)+SUMIF('04.08'!$N$4:$N$11,A5,'04.08'!$O$4:$O$11)</f>
        <v>0</v>
      </c>
      <c r="L5" s="15">
        <f>SUMIF('05.08'!$B$4:$B$11,A5,'05.08'!$C$4:$C$11)+SUMIF('05.08'!$D$4:$D$11,A5,'05.08'!$E$4:$E$11)+SUMIF('05.08'!$F$4:$F$11,A5,'05.08'!$G$4:$G$11)+SUMIF('05.08'!$H$4:$H$11,A5,'05.08'!$I$4:$I$11)+SUMIF('05.08'!$J$4:$J$11,A5,'05.08'!$K$4:$K$11)+SUMIF('05.08'!$L$4:$L$11,A5,'05.08'!$M$4:$M$11)+SUMIF('05.08'!$N$4:$N$11,A5,'05.08'!$O$4:$O$11)</f>
        <v>0</v>
      </c>
      <c r="M5" s="15">
        <f>SUMIF('06.08'!$B$4:$B$11,A5,'06.08'!$C$4:$C$11)+SUMIF('06.08'!$D$4:$D$11,A5,'06.08'!$E$4:$E$11)+SUMIF('06.08'!$F$4:$F$11,A5,'06.08'!$G$4:$G$11)+SUMIF('06.08'!$H$4:$H$11,A5,'06.08'!$I$4:$I$11)+SUMIF('06.08'!$J$4:$J$11,A5,'06.08'!$K$4:$K$11)+SUMIF('06.08'!$L$4:$L$11,A5,'06.08'!$M$4:$M$11)+SUMIF('06.08'!$N$4:$N$11,A5,'06.08'!$O$4:$O$11)</f>
        <v>0</v>
      </c>
      <c r="N5" s="15">
        <f>SUMIF('07.08'!$B$4:$B$11,A5,'07.08'!$C$4:$C$11)+SUMIF('07.08'!$D$4:$D$11,A5,'07.08'!$E$4:$E$11)+SUMIF('07.08'!$F$4:$F$11,A5,'07.08'!$G$4:$G$11)+SUMIF('07.08'!$H$4:$H$11,A5,'07.08'!$I$4:$I$11)+SUMIF('07.08'!$J$4:$J$11,A5,'07.08'!$K$4:$K$11)+SUMIF('07.08'!$L$4:$L$11,A5,'07.08'!$M$4:$M$11)+SUMIF('07.08'!$N$4:$N$11,A5,'07.08'!$O$4:$O$11)</f>
        <v>0</v>
      </c>
      <c r="O5" s="15">
        <f>SUMIF('08.08'!$B$4:$B$11,A5,'08.08'!$C$4:$C$11)+SUMIF('08.08'!$D$4:$D$11,A5,'08.08'!$E$4:$E$11)+SUMIF('08.08'!$F$4:$F$11,A5,'08.08'!$G$4:$G$11)+SUMIF('08.08'!$H$4:$H$11,A5,'08.08'!$I$4:$I$11)+SUMIF('08.08'!$J$4:$J$11,A5,'08.08'!$K$4:$K$11)+SUMIF('08.08'!$L$4:$L$11,A5,'08.08'!$M$4:$M$11)+SUMIF('08.08'!$N$4:$N$11,A5,'08.08'!$O$4:$O$11)</f>
        <v>0</v>
      </c>
      <c r="P5" s="15">
        <f>SUMIF('09.08'!$B$4:$B$11,A5,'09.08'!$C$4:$C$11)+SUMIF('09.08'!$D$4:$D$11,A5,'09.08'!$E$4:$E$11)+SUMIF('09.08'!$F$4:$F$11,A5,'09.08'!$G$4:$G$11)+SUMIF('09.08'!$H$4:$H$11,A5,'09.08'!$I$4:$I$11)+SUMIF('09.08'!$J$4:$J$11,A5,'09.08'!$K$4:$K$11)+SUMIF('09.08'!$L$4:$L$11,A5,'09.08'!$M$4:$M$11)+SUMIF('09.08'!$N$4:$N$11,A5,'09.08'!$O$4:$O$11)</f>
        <v>0</v>
      </c>
      <c r="Q5" s="15">
        <f>SUMIF('10.08'!$B$4:$B$11,A5,'10.08'!$C$4:$C$11)+SUMIF('10.08'!$D$4:$D$11,A5,'10.08'!$E$4:$E$11)+SUMIF('10.08'!$F$4:$F$11,A5,'10.08'!$G$4:$G$11)+SUMIF('10.08'!$H$4:$H$11,A5,'10.08'!$I$4:$I$11)+SUMIF('10.08'!$J$4:$J$11,A5,'10.08'!$K$4:$K$11)+SUMIF('10.08'!$L$4:$L$11,A5,'10.08'!$M$4:$M$11)+SUMIF('10.08'!$N$4:$N$11,A5,'10.08'!$O$4:$O$11)</f>
        <v>0</v>
      </c>
      <c r="R5" s="16" t="str">
        <f t="shared" si="4"/>
        <v>#N/A</v>
      </c>
      <c r="S5" s="8"/>
      <c r="T5" s="8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>
      <c r="A6" s="10" t="str">
        <f>'список продуктов'!A7</f>
        <v>Вермишель</v>
      </c>
      <c r="B6" s="10" t="str">
        <f>'список продуктов'!B7</f>
        <v>пачка</v>
      </c>
      <c r="C6" s="10">
        <f>'список продуктов'!C7</f>
        <v>450</v>
      </c>
      <c r="D6" s="10" t="str">
        <f>'список продуктов'!D7</f>
        <v/>
      </c>
      <c r="E6" s="10" t="str">
        <f>'список продуктов'!E7</f>
        <v>Долгосрочный</v>
      </c>
      <c r="F6" s="17" t="str">
        <f t="shared" si="1"/>
        <v>#N/A</v>
      </c>
      <c r="G6" s="18" t="str">
        <f t="shared" si="2"/>
        <v>Введите занчения</v>
      </c>
      <c r="H6" s="19" t="str">
        <f t="shared" si="3"/>
        <v>Введите занчения</v>
      </c>
      <c r="I6" s="14">
        <f>SUMIF('02.08'!$B$4:$B$11,A6,'02.08'!$C$4:$C$11)+SUMIF('02.08'!$D$4:$D$11,A6,'02.08'!$E$4:$E$11)+SUMIF('02.08'!$F$4:$F$11,A6,'02.08'!$G$4:$G$11)+SUMIF('02.08'!$H$4:$H$11,A6,'02.08'!$I$4:$I$11)+SUMIF('02.08'!$J$4:$J$11,A6,'02.08'!$K$4:$K$11)+SUMIF('02.08'!$L$4:$L$11,A6,'02.08'!$M$4:$M$11)+SUMIF('02.08'!$N$4:$N$11,A6,'02.08'!$O$4:$O$11)</f>
        <v>0</v>
      </c>
      <c r="J6" s="15">
        <f>SUMIF('03.08'!$B$4:$B$11,A6,'03.08'!$C$4:$C$11)+SUMIF('03.08'!$D$4:$D$11,A6,'03.08'!$E$4:$E$11)+SUMIF('03.08'!$F$4:$F$11,A6,'03.08'!$G$4:$G$11)+SUMIF('03.08'!$H$4:$H$11,A6,'03.08'!$I$4:$I$11)+SUMIF('03.08'!$J$4:$J$11,A6,'03.08'!$K$4:$K$11)+SUMIF('03.08'!$L$4:$L$11,A6,'03.08'!$M$4:$M$11)+SUMIF('03.08'!$N$4:$N$11,A6,'03.08'!$O$4:$O$11)</f>
        <v>0</v>
      </c>
      <c r="K6" s="15">
        <f>SUMIF('04.08'!$B$4:$B$11,A6,'04.08'!$C$4:$C$11)+SUMIF('04.08'!$D$4:$D$11,A6,'04.08'!$E$4:$E$11)+SUMIF('04.08'!$F$4:$F$11,A6,'04.08'!$G$4:$G$11)+SUMIF('04.08'!$H$4:$H$11,A6,'04.08'!$I$4:$I$11)+SUMIF('04.08'!$J$4:$J$11,A6,'04.08'!$K$4:$K$11)+SUMIF('04.08'!$L$4:$L$11,A6,'04.08'!$M$4:$M$11)+SUMIF('04.08'!$N$4:$N$11,A6,'04.08'!$O$4:$O$11)</f>
        <v>0</v>
      </c>
      <c r="L6" s="15">
        <f>SUMIF('05.08'!$B$4:$B$11,A6,'05.08'!$C$4:$C$11)+SUMIF('05.08'!$D$4:$D$11,A6,'05.08'!$E$4:$E$11)+SUMIF('05.08'!$F$4:$F$11,A6,'05.08'!$G$4:$G$11)+SUMIF('05.08'!$H$4:$H$11,A6,'05.08'!$I$4:$I$11)+SUMIF('05.08'!$J$4:$J$11,A6,'05.08'!$K$4:$K$11)+SUMIF('05.08'!$L$4:$L$11,A6,'05.08'!$M$4:$M$11)+SUMIF('05.08'!$N$4:$N$11,A6,'05.08'!$O$4:$O$11)</f>
        <v>0</v>
      </c>
      <c r="M6" s="15">
        <f>SUMIF('06.08'!$B$4:$B$11,A6,'06.08'!$C$4:$C$11)+SUMIF('06.08'!$D$4:$D$11,A6,'06.08'!$E$4:$E$11)+SUMIF('06.08'!$F$4:$F$11,A6,'06.08'!$G$4:$G$11)+SUMIF('06.08'!$H$4:$H$11,A6,'06.08'!$I$4:$I$11)+SUMIF('06.08'!$J$4:$J$11,A6,'06.08'!$K$4:$K$11)+SUMIF('06.08'!$L$4:$L$11,A6,'06.08'!$M$4:$M$11)+SUMIF('06.08'!$N$4:$N$11,A6,'06.08'!$O$4:$O$11)</f>
        <v>0</v>
      </c>
      <c r="N6" s="15">
        <f>SUMIF('07.08'!$B$4:$B$11,A6,'07.08'!$C$4:$C$11)+SUMIF('07.08'!$D$4:$D$11,A6,'07.08'!$E$4:$E$11)+SUMIF('07.08'!$F$4:$F$11,A6,'07.08'!$G$4:$G$11)+SUMIF('07.08'!$H$4:$H$11,A6,'07.08'!$I$4:$I$11)+SUMIF('07.08'!$J$4:$J$11,A6,'07.08'!$K$4:$K$11)+SUMIF('07.08'!$L$4:$L$11,A6,'07.08'!$M$4:$M$11)+SUMIF('07.08'!$N$4:$N$11,A6,'07.08'!$O$4:$O$11)</f>
        <v>0</v>
      </c>
      <c r="O6" s="15">
        <f>SUMIF('08.08'!$B$4:$B$11,A6,'08.08'!$C$4:$C$11)+SUMIF('08.08'!$D$4:$D$11,A6,'08.08'!$E$4:$E$11)+SUMIF('08.08'!$F$4:$F$11,A6,'08.08'!$G$4:$G$11)+SUMIF('08.08'!$H$4:$H$11,A6,'08.08'!$I$4:$I$11)+SUMIF('08.08'!$J$4:$J$11,A6,'08.08'!$K$4:$K$11)+SUMIF('08.08'!$L$4:$L$11,A6,'08.08'!$M$4:$M$11)+SUMIF('08.08'!$N$4:$N$11,A6,'08.08'!$O$4:$O$11)</f>
        <v>0</v>
      </c>
      <c r="P6" s="15">
        <f>SUMIF('09.08'!$B$4:$B$11,A6,'09.08'!$C$4:$C$11)+SUMIF('09.08'!$D$4:$D$11,A6,'09.08'!$E$4:$E$11)+SUMIF('09.08'!$F$4:$F$11,A6,'09.08'!$G$4:$G$11)+SUMIF('09.08'!$H$4:$H$11,A6,'09.08'!$I$4:$I$11)+SUMIF('09.08'!$J$4:$J$11,A6,'09.08'!$K$4:$K$11)+SUMIF('09.08'!$L$4:$L$11,A6,'09.08'!$M$4:$M$11)+SUMIF('09.08'!$N$4:$N$11,A6,'09.08'!$O$4:$O$11)</f>
        <v>0</v>
      </c>
      <c r="Q6" s="15">
        <f>SUMIF('10.08'!$B$4:$B$11,A6,'10.08'!$C$4:$C$11)+SUMIF('10.08'!$D$4:$D$11,A6,'10.08'!$E$4:$E$11)+SUMIF('10.08'!$F$4:$F$11,A6,'10.08'!$G$4:$G$11)+SUMIF('10.08'!$H$4:$H$11,A6,'10.08'!$I$4:$I$11)+SUMIF('10.08'!$J$4:$J$11,A6,'10.08'!$K$4:$K$11)+SUMIF('10.08'!$L$4:$L$11,A6,'10.08'!$M$4:$M$11)+SUMIF('10.08'!$N$4:$N$11,A6,'10.08'!$O$4:$O$11)</f>
        <v>0</v>
      </c>
      <c r="R6" s="16" t="str">
        <f t="shared" si="4"/>
        <v>#N/A</v>
      </c>
      <c r="S6" s="8"/>
      <c r="T6" s="8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>
      <c r="A7" s="10" t="str">
        <f>'список продуктов'!A8</f>
        <v>Ветчина</v>
      </c>
      <c r="B7" s="10" t="str">
        <f>'список продуктов'!B8</f>
        <v>г</v>
      </c>
      <c r="C7" s="10">
        <f>'список продуктов'!C8</f>
        <v>400</v>
      </c>
      <c r="D7" s="10" t="str">
        <f>'список продуктов'!D8</f>
        <v/>
      </c>
      <c r="E7" s="10" t="str">
        <f>'список продуктов'!E8</f>
        <v>Краткосрочный</v>
      </c>
      <c r="F7" s="21" t="str">
        <f t="shared" si="1"/>
        <v>#N/A</v>
      </c>
      <c r="G7" s="22" t="str">
        <f t="shared" si="2"/>
        <v>Введите занчения</v>
      </c>
      <c r="H7" s="19" t="str">
        <f t="shared" si="3"/>
        <v>Введите занчения</v>
      </c>
      <c r="I7" s="14">
        <f>SUMIF('02.08'!$B$4:$B$11,A7,'02.08'!$C$4:$C$11)+SUMIF('02.08'!$D$4:$D$11,A7,'02.08'!$E$4:$E$11)+SUMIF('02.08'!$F$4:$F$11,A7,'02.08'!$G$4:$G$11)+SUMIF('02.08'!$H$4:$H$11,A7,'02.08'!$I$4:$I$11)+SUMIF('02.08'!$J$4:$J$11,A7,'02.08'!$K$4:$K$11)+SUMIF('02.08'!$L$4:$L$11,A7,'02.08'!$M$4:$M$11)+SUMIF('02.08'!$N$4:$N$11,A7,'02.08'!$O$4:$O$11)</f>
        <v>0</v>
      </c>
      <c r="J7" s="15">
        <f>SUMIF('03.08'!$B$4:$B$11,A7,'03.08'!$C$4:$C$11)+SUMIF('03.08'!$D$4:$D$11,A7,'03.08'!$E$4:$E$11)+SUMIF('03.08'!$F$4:$F$11,A7,'03.08'!$G$4:$G$11)+SUMIF('03.08'!$H$4:$H$11,A7,'03.08'!$I$4:$I$11)+SUMIF('03.08'!$J$4:$J$11,A7,'03.08'!$K$4:$K$11)+SUMIF('03.08'!$L$4:$L$11,A7,'03.08'!$M$4:$M$11)+SUMIF('03.08'!$N$4:$N$11,A7,'03.08'!$O$4:$O$11)</f>
        <v>0</v>
      </c>
      <c r="K7" s="15">
        <f>SUMIF('04.08'!$B$4:$B$11,A7,'04.08'!$C$4:$C$11)+SUMIF('04.08'!$D$4:$D$11,A7,'04.08'!$E$4:$E$11)+SUMIF('04.08'!$F$4:$F$11,A7,'04.08'!$G$4:$G$11)+SUMIF('04.08'!$H$4:$H$11,A7,'04.08'!$I$4:$I$11)+SUMIF('04.08'!$J$4:$J$11,A7,'04.08'!$K$4:$K$11)+SUMIF('04.08'!$L$4:$L$11,A7,'04.08'!$M$4:$M$11)+SUMIF('04.08'!$N$4:$N$11,A7,'04.08'!$O$4:$O$11)</f>
        <v>0</v>
      </c>
      <c r="L7" s="15">
        <f>SUMIF('05.08'!$B$4:$B$11,A7,'05.08'!$C$4:$C$11)+SUMIF('05.08'!$D$4:$D$11,A7,'05.08'!$E$4:$E$11)+SUMIF('05.08'!$F$4:$F$11,A7,'05.08'!$G$4:$G$11)+SUMIF('05.08'!$H$4:$H$11,A7,'05.08'!$I$4:$I$11)+SUMIF('05.08'!$J$4:$J$11,A7,'05.08'!$K$4:$K$11)+SUMIF('05.08'!$L$4:$L$11,A7,'05.08'!$M$4:$M$11)+SUMIF('05.08'!$N$4:$N$11,A7,'05.08'!$O$4:$O$11)</f>
        <v>0</v>
      </c>
      <c r="M7" s="15">
        <f>SUMIF('06.08'!$B$4:$B$11,A7,'06.08'!$C$4:$C$11)+SUMIF('06.08'!$D$4:$D$11,A7,'06.08'!$E$4:$E$11)+SUMIF('06.08'!$F$4:$F$11,A7,'06.08'!$G$4:$G$11)+SUMIF('06.08'!$H$4:$H$11,A7,'06.08'!$I$4:$I$11)+SUMIF('06.08'!$J$4:$J$11,A7,'06.08'!$K$4:$K$11)+SUMIF('06.08'!$L$4:$L$11,A7,'06.08'!$M$4:$M$11)+SUMIF('06.08'!$N$4:$N$11,A7,'06.08'!$O$4:$O$11)</f>
        <v>0</v>
      </c>
      <c r="N7" s="15">
        <f>SUMIF('07.08'!$B$4:$B$11,A7,'07.08'!$C$4:$C$11)+SUMIF('07.08'!$D$4:$D$11,A7,'07.08'!$E$4:$E$11)+SUMIF('07.08'!$F$4:$F$11,A7,'07.08'!$G$4:$G$11)+SUMIF('07.08'!$H$4:$H$11,A7,'07.08'!$I$4:$I$11)+SUMIF('07.08'!$J$4:$J$11,A7,'07.08'!$K$4:$K$11)+SUMIF('07.08'!$L$4:$L$11,A7,'07.08'!$M$4:$M$11)+SUMIF('07.08'!$N$4:$N$11,A7,'07.08'!$O$4:$O$11)</f>
        <v>0</v>
      </c>
      <c r="O7" s="15">
        <f>SUMIF('08.08'!$B$4:$B$11,A7,'08.08'!$C$4:$C$11)+SUMIF('08.08'!$D$4:$D$11,A7,'08.08'!$E$4:$E$11)+SUMIF('08.08'!$F$4:$F$11,A7,'08.08'!$G$4:$G$11)+SUMIF('08.08'!$H$4:$H$11,A7,'08.08'!$I$4:$I$11)+SUMIF('08.08'!$J$4:$J$11,A7,'08.08'!$K$4:$K$11)+SUMIF('08.08'!$L$4:$L$11,A7,'08.08'!$M$4:$M$11)+SUMIF('08.08'!$N$4:$N$11,A7,'08.08'!$O$4:$O$11)</f>
        <v>0</v>
      </c>
      <c r="P7" s="15">
        <f>SUMIF('09.08'!$B$4:$B$11,A7,'09.08'!$C$4:$C$11)+SUMIF('09.08'!$D$4:$D$11,A7,'09.08'!$E$4:$E$11)+SUMIF('09.08'!$F$4:$F$11,A7,'09.08'!$G$4:$G$11)+SUMIF('09.08'!$H$4:$H$11,A7,'09.08'!$I$4:$I$11)+SUMIF('09.08'!$J$4:$J$11,A7,'09.08'!$K$4:$K$11)+SUMIF('09.08'!$L$4:$L$11,A7,'09.08'!$M$4:$M$11)+SUMIF('09.08'!$N$4:$N$11,A7,'09.08'!$O$4:$O$11)</f>
        <v>0</v>
      </c>
      <c r="Q7" s="15">
        <f>SUMIF('10.08'!$B$4:$B$11,A7,'10.08'!$C$4:$C$11)+SUMIF('10.08'!$D$4:$D$11,A7,'10.08'!$E$4:$E$11)+SUMIF('10.08'!$F$4:$F$11,A7,'10.08'!$G$4:$G$11)+SUMIF('10.08'!$H$4:$H$11,A7,'10.08'!$I$4:$I$11)+SUMIF('10.08'!$J$4:$J$11,A7,'10.08'!$K$4:$K$11)+SUMIF('10.08'!$L$4:$L$11,A7,'10.08'!$M$4:$M$11)+SUMIF('10.08'!$N$4:$N$11,A7,'10.08'!$O$4:$O$11)</f>
        <v>0</v>
      </c>
      <c r="R7" s="16" t="str">
        <f t="shared" si="4"/>
        <v>#N/A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0" t="str">
        <f>'список продуктов'!A10</f>
        <v>Гречневая крупа</v>
      </c>
      <c r="B8" s="10" t="str">
        <f>'список продуктов'!B10</f>
        <v>пачка</v>
      </c>
      <c r="C8" s="10" t="str">
        <f>'список продуктов'!C10</f>
        <v/>
      </c>
      <c r="D8" s="10" t="str">
        <f>'список продуктов'!D10</f>
        <v/>
      </c>
      <c r="E8" s="10" t="str">
        <f>'список продуктов'!E10</f>
        <v>Долгосрочный</v>
      </c>
      <c r="F8" s="17" t="str">
        <f t="shared" si="1"/>
        <v>#N/A</v>
      </c>
      <c r="G8" s="18" t="str">
        <f t="shared" si="2"/>
        <v>Введите занчения</v>
      </c>
      <c r="H8" s="19" t="str">
        <f t="shared" si="3"/>
        <v>Введите занчения</v>
      </c>
      <c r="I8" s="14">
        <f>SUMIF('02.08'!$B$4:$B$11,A8,'02.08'!$C$4:$C$11)+SUMIF('02.08'!$D$4:$D$11,A8,'02.08'!$E$4:$E$11)+SUMIF('02.08'!$F$4:$F$11,A8,'02.08'!$G$4:$G$11)+SUMIF('02.08'!$H$4:$H$11,A8,'02.08'!$I$4:$I$11)+SUMIF('02.08'!$J$4:$J$11,A8,'02.08'!$K$4:$K$11)+SUMIF('02.08'!$L$4:$L$11,A8,'02.08'!$M$4:$M$11)+SUMIF('02.08'!$N$4:$N$11,A8,'02.08'!$O$4:$O$11)</f>
        <v>0</v>
      </c>
      <c r="J8" s="15">
        <f>SUMIF('03.08'!$B$4:$B$11,A8,'03.08'!$C$4:$C$11)+SUMIF('03.08'!$D$4:$D$11,A8,'03.08'!$E$4:$E$11)+SUMIF('03.08'!$F$4:$F$11,A8,'03.08'!$G$4:$G$11)+SUMIF('03.08'!$H$4:$H$11,A8,'03.08'!$I$4:$I$11)+SUMIF('03.08'!$J$4:$J$11,A8,'03.08'!$K$4:$K$11)+SUMIF('03.08'!$L$4:$L$11,A8,'03.08'!$M$4:$M$11)+SUMIF('03.08'!$N$4:$N$11,A8,'03.08'!$O$4:$O$11)</f>
        <v>0</v>
      </c>
      <c r="K8" s="15">
        <f>SUMIF('04.08'!$B$4:$B$11,A8,'04.08'!$C$4:$C$11)+SUMIF('04.08'!$D$4:$D$11,A8,'04.08'!$E$4:$E$11)+SUMIF('04.08'!$F$4:$F$11,A8,'04.08'!$G$4:$G$11)+SUMIF('04.08'!$H$4:$H$11,A8,'04.08'!$I$4:$I$11)+SUMIF('04.08'!$J$4:$J$11,A8,'04.08'!$K$4:$K$11)+SUMIF('04.08'!$L$4:$L$11,A8,'04.08'!$M$4:$M$11)+SUMIF('04.08'!$N$4:$N$11,A8,'04.08'!$O$4:$O$11)</f>
        <v>0</v>
      </c>
      <c r="L8" s="15">
        <f>SUMIF('05.08'!$B$4:$B$11,A8,'05.08'!$C$4:$C$11)+SUMIF('05.08'!$D$4:$D$11,A8,'05.08'!$E$4:$E$11)+SUMIF('05.08'!$F$4:$F$11,A8,'05.08'!$G$4:$G$11)+SUMIF('05.08'!$H$4:$H$11,A8,'05.08'!$I$4:$I$11)+SUMIF('05.08'!$J$4:$J$11,A8,'05.08'!$K$4:$K$11)+SUMIF('05.08'!$L$4:$L$11,A8,'05.08'!$M$4:$M$11)+SUMIF('05.08'!$N$4:$N$11,A8,'05.08'!$O$4:$O$11)</f>
        <v>0</v>
      </c>
      <c r="M8" s="15">
        <f>SUMIF('06.08'!$B$4:$B$11,A8,'06.08'!$C$4:$C$11)+SUMIF('06.08'!$D$4:$D$11,A8,'06.08'!$E$4:$E$11)+SUMIF('06.08'!$F$4:$F$11,A8,'06.08'!$G$4:$G$11)+SUMIF('06.08'!$H$4:$H$11,A8,'06.08'!$I$4:$I$11)+SUMIF('06.08'!$J$4:$J$11,A8,'06.08'!$K$4:$K$11)+SUMIF('06.08'!$L$4:$L$11,A8,'06.08'!$M$4:$M$11)+SUMIF('06.08'!$N$4:$N$11,A8,'06.08'!$O$4:$O$11)</f>
        <v>0</v>
      </c>
      <c r="N8" s="15">
        <f>SUMIF('07.08'!$B$4:$B$11,A8,'07.08'!$C$4:$C$11)+SUMIF('07.08'!$D$4:$D$11,A8,'07.08'!$E$4:$E$11)+SUMIF('07.08'!$F$4:$F$11,A8,'07.08'!$G$4:$G$11)+SUMIF('07.08'!$H$4:$H$11,A8,'07.08'!$I$4:$I$11)+SUMIF('07.08'!$J$4:$J$11,A8,'07.08'!$K$4:$K$11)+SUMIF('07.08'!$L$4:$L$11,A8,'07.08'!$M$4:$M$11)+SUMIF('07.08'!$N$4:$N$11,A8,'07.08'!$O$4:$O$11)</f>
        <v>0</v>
      </c>
      <c r="O8" s="15">
        <f>SUMIF('08.08'!$B$4:$B$11,A8,'08.08'!$C$4:$C$11)+SUMIF('08.08'!$D$4:$D$11,A8,'08.08'!$E$4:$E$11)+SUMIF('08.08'!$F$4:$F$11,A8,'08.08'!$G$4:$G$11)+SUMIF('08.08'!$H$4:$H$11,A8,'08.08'!$I$4:$I$11)+SUMIF('08.08'!$J$4:$J$11,A8,'08.08'!$K$4:$K$11)+SUMIF('08.08'!$L$4:$L$11,A8,'08.08'!$M$4:$M$11)+SUMIF('08.08'!$N$4:$N$11,A8,'08.08'!$O$4:$O$11)</f>
        <v>0</v>
      </c>
      <c r="P8" s="15">
        <f>SUMIF('09.08'!$B$4:$B$11,A8,'09.08'!$C$4:$C$11)+SUMIF('09.08'!$D$4:$D$11,A8,'09.08'!$E$4:$E$11)+SUMIF('09.08'!$F$4:$F$11,A8,'09.08'!$G$4:$G$11)+SUMIF('09.08'!$H$4:$H$11,A8,'09.08'!$I$4:$I$11)+SUMIF('09.08'!$J$4:$J$11,A8,'09.08'!$K$4:$K$11)+SUMIF('09.08'!$L$4:$L$11,A8,'09.08'!$M$4:$M$11)+SUMIF('09.08'!$N$4:$N$11,A8,'09.08'!$O$4:$O$11)</f>
        <v>0</v>
      </c>
      <c r="Q8" s="15">
        <f>SUMIF('10.08'!$B$4:$B$11,A8,'10.08'!$C$4:$C$11)+SUMIF('10.08'!$D$4:$D$11,A8,'10.08'!$E$4:$E$11)+SUMIF('10.08'!$F$4:$F$11,A8,'10.08'!$G$4:$G$11)+SUMIF('10.08'!$H$4:$H$11,A8,'10.08'!$I$4:$I$11)+SUMIF('10.08'!$J$4:$J$11,A8,'10.08'!$K$4:$K$11)+SUMIF('10.08'!$L$4:$L$11,A8,'10.08'!$M$4:$M$11)+SUMIF('10.08'!$N$4:$N$11,A8,'10.08'!$O$4:$O$11)</f>
        <v>0</v>
      </c>
      <c r="R8" s="16" t="str">
        <f t="shared" si="4"/>
        <v>#N/A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>
      <c r="A9" s="10" t="str">
        <f>'список продуктов'!A11</f>
        <v>Грибная заправка</v>
      </c>
      <c r="B9" s="10" t="str">
        <f>'список продуктов'!B11</f>
        <v>пачка</v>
      </c>
      <c r="C9" s="10" t="str">
        <f>'список продуктов'!C11</f>
        <v/>
      </c>
      <c r="D9" s="10" t="str">
        <f>'список продуктов'!D11</f>
        <v/>
      </c>
      <c r="E9" s="10" t="str">
        <f>'список продуктов'!E11</f>
        <v>Долгосрочный</v>
      </c>
      <c r="F9" s="21" t="str">
        <f t="shared" si="1"/>
        <v>#N/A</v>
      </c>
      <c r="G9" s="22" t="str">
        <f t="shared" si="2"/>
        <v>Введите занчения</v>
      </c>
      <c r="H9" s="19" t="str">
        <f t="shared" si="3"/>
        <v>Введите занчения</v>
      </c>
      <c r="I9" s="14">
        <f>SUMIF('02.08'!$B$4:$B$11,A9,'02.08'!$C$4:$C$11)+SUMIF('02.08'!$D$4:$D$11,A9,'02.08'!$E$4:$E$11)+SUMIF('02.08'!$F$4:$F$11,A9,'02.08'!$G$4:$G$11)+SUMIF('02.08'!$H$4:$H$11,A9,'02.08'!$I$4:$I$11)+SUMIF('02.08'!$J$4:$J$11,A9,'02.08'!$K$4:$K$11)+SUMIF('02.08'!$L$4:$L$11,A9,'02.08'!$M$4:$M$11)+SUMIF('02.08'!$N$4:$N$11,A9,'02.08'!$O$4:$O$11)</f>
        <v>0</v>
      </c>
      <c r="J9" s="15">
        <f>SUMIF('03.08'!$B$4:$B$11,A9,'03.08'!$C$4:$C$11)+SUMIF('03.08'!$D$4:$D$11,A9,'03.08'!$E$4:$E$11)+SUMIF('03.08'!$F$4:$F$11,A9,'03.08'!$G$4:$G$11)+SUMIF('03.08'!$H$4:$H$11,A9,'03.08'!$I$4:$I$11)+SUMIF('03.08'!$J$4:$J$11,A9,'03.08'!$K$4:$K$11)+SUMIF('03.08'!$L$4:$L$11,A9,'03.08'!$M$4:$M$11)+SUMIF('03.08'!$N$4:$N$11,A9,'03.08'!$O$4:$O$11)</f>
        <v>0</v>
      </c>
      <c r="K9" s="15">
        <f>SUMIF('04.08'!$B$4:$B$11,A9,'04.08'!$C$4:$C$11)+SUMIF('04.08'!$D$4:$D$11,A9,'04.08'!$E$4:$E$11)+SUMIF('04.08'!$F$4:$F$11,A9,'04.08'!$G$4:$G$11)+SUMIF('04.08'!$H$4:$H$11,A9,'04.08'!$I$4:$I$11)+SUMIF('04.08'!$J$4:$J$11,A9,'04.08'!$K$4:$K$11)+SUMIF('04.08'!$L$4:$L$11,A9,'04.08'!$M$4:$M$11)+SUMIF('04.08'!$N$4:$N$11,A9,'04.08'!$O$4:$O$11)</f>
        <v>0</v>
      </c>
      <c r="L9" s="15">
        <f>SUMIF('05.08'!$B$4:$B$11,A9,'05.08'!$C$4:$C$11)+SUMIF('05.08'!$D$4:$D$11,A9,'05.08'!$E$4:$E$11)+SUMIF('05.08'!$F$4:$F$11,A9,'05.08'!$G$4:$G$11)+SUMIF('05.08'!$H$4:$H$11,A9,'05.08'!$I$4:$I$11)+SUMIF('05.08'!$J$4:$J$11,A9,'05.08'!$K$4:$K$11)+SUMIF('05.08'!$L$4:$L$11,A9,'05.08'!$M$4:$M$11)+SUMIF('05.08'!$N$4:$N$11,A9,'05.08'!$O$4:$O$11)</f>
        <v>0</v>
      </c>
      <c r="M9" s="15">
        <f>SUMIF('06.08'!$B$4:$B$11,A9,'06.08'!$C$4:$C$11)+SUMIF('06.08'!$D$4:$D$11,A9,'06.08'!$E$4:$E$11)+SUMIF('06.08'!$F$4:$F$11,A9,'06.08'!$G$4:$G$11)+SUMIF('06.08'!$H$4:$H$11,A9,'06.08'!$I$4:$I$11)+SUMIF('06.08'!$J$4:$J$11,A9,'06.08'!$K$4:$K$11)+SUMIF('06.08'!$L$4:$L$11,A9,'06.08'!$M$4:$M$11)+SUMIF('06.08'!$N$4:$N$11,A9,'06.08'!$O$4:$O$11)</f>
        <v>0</v>
      </c>
      <c r="N9" s="15">
        <f>SUMIF('07.08'!$B$4:$B$11,A9,'07.08'!$C$4:$C$11)+SUMIF('07.08'!$D$4:$D$11,A9,'07.08'!$E$4:$E$11)+SUMIF('07.08'!$F$4:$F$11,A9,'07.08'!$G$4:$G$11)+SUMIF('07.08'!$H$4:$H$11,A9,'07.08'!$I$4:$I$11)+SUMIF('07.08'!$J$4:$J$11,A9,'07.08'!$K$4:$K$11)+SUMIF('07.08'!$L$4:$L$11,A9,'07.08'!$M$4:$M$11)+SUMIF('07.08'!$N$4:$N$11,A9,'07.08'!$O$4:$O$11)</f>
        <v>0</v>
      </c>
      <c r="O9" s="15">
        <f>SUMIF('08.08'!$B$4:$B$11,A9,'08.08'!$C$4:$C$11)+SUMIF('08.08'!$D$4:$D$11,A9,'08.08'!$E$4:$E$11)+SUMIF('08.08'!$F$4:$F$11,A9,'08.08'!$G$4:$G$11)+SUMIF('08.08'!$H$4:$H$11,A9,'08.08'!$I$4:$I$11)+SUMIF('08.08'!$J$4:$J$11,A9,'08.08'!$K$4:$K$11)+SUMIF('08.08'!$L$4:$L$11,A9,'08.08'!$M$4:$M$11)+SUMIF('08.08'!$N$4:$N$11,A9,'08.08'!$O$4:$O$11)</f>
        <v>0</v>
      </c>
      <c r="P9" s="15">
        <f>SUMIF('09.08'!$B$4:$B$11,A9,'09.08'!$C$4:$C$11)+SUMIF('09.08'!$D$4:$D$11,A9,'09.08'!$E$4:$E$11)+SUMIF('09.08'!$F$4:$F$11,A9,'09.08'!$G$4:$G$11)+SUMIF('09.08'!$H$4:$H$11,A9,'09.08'!$I$4:$I$11)+SUMIF('09.08'!$J$4:$J$11,A9,'09.08'!$K$4:$K$11)+SUMIF('09.08'!$L$4:$L$11,A9,'09.08'!$M$4:$M$11)+SUMIF('09.08'!$N$4:$N$11,A9,'09.08'!$O$4:$O$11)</f>
        <v>0</v>
      </c>
      <c r="Q9" s="15">
        <f>SUMIF('10.08'!$B$4:$B$11,A9,'10.08'!$C$4:$C$11)+SUMIF('10.08'!$D$4:$D$11,A9,'10.08'!$E$4:$E$11)+SUMIF('10.08'!$F$4:$F$11,A9,'10.08'!$G$4:$G$11)+SUMIF('10.08'!$H$4:$H$11,A9,'10.08'!$I$4:$I$11)+SUMIF('10.08'!$J$4:$J$11,A9,'10.08'!$K$4:$K$11)+SUMIF('10.08'!$L$4:$L$11,A9,'10.08'!$M$4:$M$11)+SUMIF('10.08'!$N$4:$N$11,A9,'10.08'!$O$4:$O$11)</f>
        <v>0</v>
      </c>
      <c r="R9" s="16" t="str">
        <f t="shared" si="4"/>
        <v>#N/A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>
      <c r="A10" s="10" t="str">
        <f>'список продуктов'!A12</f>
        <v>Джем</v>
      </c>
      <c r="B10" s="10" t="str">
        <f>'список продуктов'!B12</f>
        <v>пачка</v>
      </c>
      <c r="C10" s="10" t="str">
        <f>'список продуктов'!C12</f>
        <v/>
      </c>
      <c r="D10" s="10" t="str">
        <f>'список продуктов'!D12</f>
        <v/>
      </c>
      <c r="E10" s="10" t="str">
        <f>'список продуктов'!E12</f>
        <v>Долгосрочный</v>
      </c>
      <c r="F10" s="17" t="str">
        <f t="shared" si="1"/>
        <v>#N/A</v>
      </c>
      <c r="G10" s="18" t="str">
        <f t="shared" si="2"/>
        <v>Введите занчения</v>
      </c>
      <c r="H10" s="19" t="str">
        <f t="shared" si="3"/>
        <v>Введите занчения</v>
      </c>
      <c r="I10" s="14">
        <f>SUMIF('02.08'!$B$4:$B$11,A10,'02.08'!$C$4:$C$11)+SUMIF('02.08'!$D$4:$D$11,A10,'02.08'!$E$4:$E$11)+SUMIF('02.08'!$F$4:$F$11,A10,'02.08'!$G$4:$G$11)+SUMIF('02.08'!$H$4:$H$11,A10,'02.08'!$I$4:$I$11)+SUMIF('02.08'!$J$4:$J$11,A10,'02.08'!$K$4:$K$11)+SUMIF('02.08'!$L$4:$L$11,A10,'02.08'!$M$4:$M$11)+SUMIF('02.08'!$N$4:$N$11,A10,'02.08'!$O$4:$O$11)</f>
        <v>0</v>
      </c>
      <c r="J10" s="15">
        <f>SUMIF('03.08'!$B$4:$B$11,A10,'03.08'!$C$4:$C$11)+SUMIF('03.08'!$D$4:$D$11,A10,'03.08'!$E$4:$E$11)+SUMIF('03.08'!$F$4:$F$11,A10,'03.08'!$G$4:$G$11)+SUMIF('03.08'!$H$4:$H$11,A10,'03.08'!$I$4:$I$11)+SUMIF('03.08'!$J$4:$J$11,A10,'03.08'!$K$4:$K$11)+SUMIF('03.08'!$L$4:$L$11,A10,'03.08'!$M$4:$M$11)+SUMIF('03.08'!$N$4:$N$11,A10,'03.08'!$O$4:$O$11)</f>
        <v>0</v>
      </c>
      <c r="K10" s="15">
        <f>SUMIF('04.08'!$B$4:$B$11,A10,'04.08'!$C$4:$C$11)+SUMIF('04.08'!$D$4:$D$11,A10,'04.08'!$E$4:$E$11)+SUMIF('04.08'!$F$4:$F$11,A10,'04.08'!$G$4:$G$11)+SUMIF('04.08'!$H$4:$H$11,A10,'04.08'!$I$4:$I$11)+SUMIF('04.08'!$J$4:$J$11,A10,'04.08'!$K$4:$K$11)+SUMIF('04.08'!$L$4:$L$11,A10,'04.08'!$M$4:$M$11)+SUMIF('04.08'!$N$4:$N$11,A10,'04.08'!$O$4:$O$11)</f>
        <v>0</v>
      </c>
      <c r="L10" s="15">
        <f>SUMIF('05.08'!$B$4:$B$11,A10,'05.08'!$C$4:$C$11)+SUMIF('05.08'!$D$4:$D$11,A10,'05.08'!$E$4:$E$11)+SUMIF('05.08'!$F$4:$F$11,A10,'05.08'!$G$4:$G$11)+SUMIF('05.08'!$H$4:$H$11,A10,'05.08'!$I$4:$I$11)+SUMIF('05.08'!$J$4:$J$11,A10,'05.08'!$K$4:$K$11)+SUMIF('05.08'!$L$4:$L$11,A10,'05.08'!$M$4:$M$11)+SUMIF('05.08'!$N$4:$N$11,A10,'05.08'!$O$4:$O$11)</f>
        <v>0</v>
      </c>
      <c r="M10" s="15">
        <f>SUMIF('06.08'!$B$4:$B$11,A10,'06.08'!$C$4:$C$11)+SUMIF('06.08'!$D$4:$D$11,A10,'06.08'!$E$4:$E$11)+SUMIF('06.08'!$F$4:$F$11,A10,'06.08'!$G$4:$G$11)+SUMIF('06.08'!$H$4:$H$11,A10,'06.08'!$I$4:$I$11)+SUMIF('06.08'!$J$4:$J$11,A10,'06.08'!$K$4:$K$11)+SUMIF('06.08'!$L$4:$L$11,A10,'06.08'!$M$4:$M$11)+SUMIF('06.08'!$N$4:$N$11,A10,'06.08'!$O$4:$O$11)</f>
        <v>0</v>
      </c>
      <c r="N10" s="15">
        <f>SUMIF('07.08'!$B$4:$B$11,A10,'07.08'!$C$4:$C$11)+SUMIF('07.08'!$D$4:$D$11,A10,'07.08'!$E$4:$E$11)+SUMIF('07.08'!$F$4:$F$11,A10,'07.08'!$G$4:$G$11)+SUMIF('07.08'!$H$4:$H$11,A10,'07.08'!$I$4:$I$11)+SUMIF('07.08'!$J$4:$J$11,A10,'07.08'!$K$4:$K$11)+SUMIF('07.08'!$L$4:$L$11,A10,'07.08'!$M$4:$M$11)+SUMIF('07.08'!$N$4:$N$11,A10,'07.08'!$O$4:$O$11)</f>
        <v>0</v>
      </c>
      <c r="O10" s="15">
        <f>SUMIF('08.08'!$B$4:$B$11,A10,'08.08'!$C$4:$C$11)+SUMIF('08.08'!$D$4:$D$11,A10,'08.08'!$E$4:$E$11)+SUMIF('08.08'!$F$4:$F$11,A10,'08.08'!$G$4:$G$11)+SUMIF('08.08'!$H$4:$H$11,A10,'08.08'!$I$4:$I$11)+SUMIF('08.08'!$J$4:$J$11,A10,'08.08'!$K$4:$K$11)+SUMIF('08.08'!$L$4:$L$11,A10,'08.08'!$M$4:$M$11)+SUMIF('08.08'!$N$4:$N$11,A10,'08.08'!$O$4:$O$11)</f>
        <v>0</v>
      </c>
      <c r="P10" s="15">
        <f>SUMIF('09.08'!$B$4:$B$11,A10,'09.08'!$C$4:$C$11)+SUMIF('09.08'!$D$4:$D$11,A10,'09.08'!$E$4:$E$11)+SUMIF('09.08'!$F$4:$F$11,A10,'09.08'!$G$4:$G$11)+SUMIF('09.08'!$H$4:$H$11,A10,'09.08'!$I$4:$I$11)+SUMIF('09.08'!$J$4:$J$11,A10,'09.08'!$K$4:$K$11)+SUMIF('09.08'!$L$4:$L$11,A10,'09.08'!$M$4:$M$11)+SUMIF('09.08'!$N$4:$N$11,A10,'09.08'!$O$4:$O$11)</f>
        <v>0</v>
      </c>
      <c r="Q10" s="15">
        <f>SUMIF('10.08'!$B$4:$B$11,A10,'10.08'!$C$4:$C$11)+SUMIF('10.08'!$D$4:$D$11,A10,'10.08'!$E$4:$E$11)+SUMIF('10.08'!$F$4:$F$11,A10,'10.08'!$G$4:$G$11)+SUMIF('10.08'!$H$4:$H$11,A10,'10.08'!$I$4:$I$11)+SUMIF('10.08'!$J$4:$J$11,A10,'10.08'!$K$4:$K$11)+SUMIF('10.08'!$L$4:$L$11,A10,'10.08'!$M$4:$M$11)+SUMIF('10.08'!$N$4:$N$11,A10,'10.08'!$O$4:$O$11)</f>
        <v>0</v>
      </c>
      <c r="R10" s="16" t="str">
        <f t="shared" si="4"/>
        <v>#N/A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>
      <c r="A11" s="10" t="str">
        <f>'список продуктов'!A13</f>
        <v>Дрожжи </v>
      </c>
      <c r="B11" s="10" t="str">
        <f>'список продуктов'!B13</f>
        <v>пачка</v>
      </c>
      <c r="C11" s="10" t="str">
        <f>'список продуктов'!C13</f>
        <v/>
      </c>
      <c r="D11" s="10" t="str">
        <f>'список продуктов'!D13</f>
        <v/>
      </c>
      <c r="E11" s="10" t="str">
        <f>'список продуктов'!E13</f>
        <v>Долгосрочный</v>
      </c>
      <c r="F11" s="21" t="str">
        <f t="shared" si="1"/>
        <v>#N/A</v>
      </c>
      <c r="G11" s="22" t="str">
        <f t="shared" si="2"/>
        <v>Введите занчения</v>
      </c>
      <c r="H11" s="19" t="str">
        <f t="shared" si="3"/>
        <v>Введите занчения</v>
      </c>
      <c r="I11" s="14">
        <f>SUMIF('02.08'!$B$4:$B$11,A11,'02.08'!$C$4:$C$11)+SUMIF('02.08'!$D$4:$D$11,A11,'02.08'!$E$4:$E$11)+SUMIF('02.08'!$F$4:$F$11,A11,'02.08'!$G$4:$G$11)+SUMIF('02.08'!$H$4:$H$11,A11,'02.08'!$I$4:$I$11)+SUMIF('02.08'!$J$4:$J$11,A11,'02.08'!$K$4:$K$11)+SUMIF('02.08'!$L$4:$L$11,A11,'02.08'!$M$4:$M$11)+SUMIF('02.08'!$N$4:$N$11,A11,'02.08'!$O$4:$O$11)</f>
        <v>0</v>
      </c>
      <c r="J11" s="15">
        <f>SUMIF('03.08'!$B$4:$B$11,A11,'03.08'!$C$4:$C$11)+SUMIF('03.08'!$D$4:$D$11,A11,'03.08'!$E$4:$E$11)+SUMIF('03.08'!$F$4:$F$11,A11,'03.08'!$G$4:$G$11)+SUMIF('03.08'!$H$4:$H$11,A11,'03.08'!$I$4:$I$11)+SUMIF('03.08'!$J$4:$J$11,A11,'03.08'!$K$4:$K$11)+SUMIF('03.08'!$L$4:$L$11,A11,'03.08'!$M$4:$M$11)+SUMIF('03.08'!$N$4:$N$11,A11,'03.08'!$O$4:$O$11)</f>
        <v>0</v>
      </c>
      <c r="K11" s="15">
        <f>SUMIF('04.08'!$B$4:$B$11,A11,'04.08'!$C$4:$C$11)+SUMIF('04.08'!$D$4:$D$11,A11,'04.08'!$E$4:$E$11)+SUMIF('04.08'!$F$4:$F$11,A11,'04.08'!$G$4:$G$11)+SUMIF('04.08'!$H$4:$H$11,A11,'04.08'!$I$4:$I$11)+SUMIF('04.08'!$J$4:$J$11,A11,'04.08'!$K$4:$K$11)+SUMIF('04.08'!$L$4:$L$11,A11,'04.08'!$M$4:$M$11)+SUMIF('04.08'!$N$4:$N$11,A11,'04.08'!$O$4:$O$11)</f>
        <v>0</v>
      </c>
      <c r="L11" s="15">
        <f>SUMIF('05.08'!$B$4:$B$11,A11,'05.08'!$C$4:$C$11)+SUMIF('05.08'!$D$4:$D$11,A11,'05.08'!$E$4:$E$11)+SUMIF('05.08'!$F$4:$F$11,A11,'05.08'!$G$4:$G$11)+SUMIF('05.08'!$H$4:$H$11,A11,'05.08'!$I$4:$I$11)+SUMIF('05.08'!$J$4:$J$11,A11,'05.08'!$K$4:$K$11)+SUMIF('05.08'!$L$4:$L$11,A11,'05.08'!$M$4:$M$11)+SUMIF('05.08'!$N$4:$N$11,A11,'05.08'!$O$4:$O$11)</f>
        <v>0</v>
      </c>
      <c r="M11" s="15">
        <f>SUMIF('06.08'!$B$4:$B$11,A11,'06.08'!$C$4:$C$11)+SUMIF('06.08'!$D$4:$D$11,A11,'06.08'!$E$4:$E$11)+SUMIF('06.08'!$F$4:$F$11,A11,'06.08'!$G$4:$G$11)+SUMIF('06.08'!$H$4:$H$11,A11,'06.08'!$I$4:$I$11)+SUMIF('06.08'!$J$4:$J$11,A11,'06.08'!$K$4:$K$11)+SUMIF('06.08'!$L$4:$L$11,A11,'06.08'!$M$4:$M$11)+SUMIF('06.08'!$N$4:$N$11,A11,'06.08'!$O$4:$O$11)</f>
        <v>0</v>
      </c>
      <c r="N11" s="15">
        <f>SUMIF('07.08'!$B$4:$B$11,A11,'07.08'!$C$4:$C$11)+SUMIF('07.08'!$D$4:$D$11,A11,'07.08'!$E$4:$E$11)+SUMIF('07.08'!$F$4:$F$11,A11,'07.08'!$G$4:$G$11)+SUMIF('07.08'!$H$4:$H$11,A11,'07.08'!$I$4:$I$11)+SUMIF('07.08'!$J$4:$J$11,A11,'07.08'!$K$4:$K$11)+SUMIF('07.08'!$L$4:$L$11,A11,'07.08'!$M$4:$M$11)+SUMIF('07.08'!$N$4:$N$11,A11,'07.08'!$O$4:$O$11)</f>
        <v>0</v>
      </c>
      <c r="O11" s="15">
        <f>SUMIF('08.08'!$B$4:$B$11,A11,'08.08'!$C$4:$C$11)+SUMIF('08.08'!$D$4:$D$11,A11,'08.08'!$E$4:$E$11)+SUMIF('08.08'!$F$4:$F$11,A11,'08.08'!$G$4:$G$11)+SUMIF('08.08'!$H$4:$H$11,A11,'08.08'!$I$4:$I$11)+SUMIF('08.08'!$J$4:$J$11,A11,'08.08'!$K$4:$K$11)+SUMIF('08.08'!$L$4:$L$11,A11,'08.08'!$M$4:$M$11)+SUMIF('08.08'!$N$4:$N$11,A11,'08.08'!$O$4:$O$11)</f>
        <v>0</v>
      </c>
      <c r="P11" s="15">
        <f>SUMIF('09.08'!$B$4:$B$11,A11,'09.08'!$C$4:$C$11)+SUMIF('09.08'!$D$4:$D$11,A11,'09.08'!$E$4:$E$11)+SUMIF('09.08'!$F$4:$F$11,A11,'09.08'!$G$4:$G$11)+SUMIF('09.08'!$H$4:$H$11,A11,'09.08'!$I$4:$I$11)+SUMIF('09.08'!$J$4:$J$11,A11,'09.08'!$K$4:$K$11)+SUMIF('09.08'!$L$4:$L$11,A11,'09.08'!$M$4:$M$11)+SUMIF('09.08'!$N$4:$N$11,A11,'09.08'!$O$4:$O$11)</f>
        <v>0</v>
      </c>
      <c r="Q11" s="15">
        <f>SUMIF('10.08'!$B$4:$B$11,A11,'10.08'!$C$4:$C$11)+SUMIF('10.08'!$D$4:$D$11,A11,'10.08'!$E$4:$E$11)+SUMIF('10.08'!$F$4:$F$11,A11,'10.08'!$G$4:$G$11)+SUMIF('10.08'!$H$4:$H$11,A11,'10.08'!$I$4:$I$11)+SUMIF('10.08'!$J$4:$J$11,A11,'10.08'!$K$4:$K$11)+SUMIF('10.08'!$L$4:$L$11,A11,'10.08'!$M$4:$M$11)+SUMIF('10.08'!$N$4:$N$11,A11,'10.08'!$O$4:$O$11)</f>
        <v>0</v>
      </c>
      <c r="R11" s="16" t="str">
        <f t="shared" si="4"/>
        <v>#N/A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>
      <c r="A12" s="10" t="str">
        <f>'список продуктов'!A14</f>
        <v>Заготовка для супа сухая</v>
      </c>
      <c r="B12" s="10" t="str">
        <f>'список продуктов'!B14</f>
        <v>пачка</v>
      </c>
      <c r="C12" s="10" t="str">
        <f>'список продуктов'!C14</f>
        <v/>
      </c>
      <c r="D12" s="10" t="str">
        <f>'список продуктов'!D14</f>
        <v/>
      </c>
      <c r="E12" s="10" t="str">
        <f>'список продуктов'!E14</f>
        <v>Долгосрочный</v>
      </c>
      <c r="F12" s="17" t="str">
        <f t="shared" si="1"/>
        <v>#N/A</v>
      </c>
      <c r="G12" s="18" t="str">
        <f t="shared" si="2"/>
        <v>Введите занчения</v>
      </c>
      <c r="H12" s="19" t="str">
        <f t="shared" si="3"/>
        <v>Введите занчения</v>
      </c>
      <c r="I12" s="14">
        <f>SUMIF('02.08'!$B$4:$B$11,A12,'02.08'!$C$4:$C$11)+SUMIF('02.08'!$D$4:$D$11,A12,'02.08'!$E$4:$E$11)+SUMIF('02.08'!$F$4:$F$11,A12,'02.08'!$G$4:$G$11)+SUMIF('02.08'!$H$4:$H$11,A12,'02.08'!$I$4:$I$11)+SUMIF('02.08'!$J$4:$J$11,A12,'02.08'!$K$4:$K$11)+SUMIF('02.08'!$L$4:$L$11,A12,'02.08'!$M$4:$M$11)+SUMIF('02.08'!$N$4:$N$11,A12,'02.08'!$O$4:$O$11)</f>
        <v>0</v>
      </c>
      <c r="J12" s="15">
        <f>SUMIF('03.08'!$B$4:$B$11,A12,'03.08'!$C$4:$C$11)+SUMIF('03.08'!$D$4:$D$11,A12,'03.08'!$E$4:$E$11)+SUMIF('03.08'!$F$4:$F$11,A12,'03.08'!$G$4:$G$11)+SUMIF('03.08'!$H$4:$H$11,A12,'03.08'!$I$4:$I$11)+SUMIF('03.08'!$J$4:$J$11,A12,'03.08'!$K$4:$K$11)+SUMIF('03.08'!$L$4:$L$11,A12,'03.08'!$M$4:$M$11)+SUMIF('03.08'!$N$4:$N$11,A12,'03.08'!$O$4:$O$11)</f>
        <v>0</v>
      </c>
      <c r="K12" s="15">
        <f>SUMIF('04.08'!$B$4:$B$11,A12,'04.08'!$C$4:$C$11)+SUMIF('04.08'!$D$4:$D$11,A12,'04.08'!$E$4:$E$11)+SUMIF('04.08'!$F$4:$F$11,A12,'04.08'!$G$4:$G$11)+SUMIF('04.08'!$H$4:$H$11,A12,'04.08'!$I$4:$I$11)+SUMIF('04.08'!$J$4:$J$11,A12,'04.08'!$K$4:$K$11)+SUMIF('04.08'!$L$4:$L$11,A12,'04.08'!$M$4:$M$11)+SUMIF('04.08'!$N$4:$N$11,A12,'04.08'!$O$4:$O$11)</f>
        <v>0</v>
      </c>
      <c r="L12" s="15">
        <f>SUMIF('05.08'!$B$4:$B$11,A12,'05.08'!$C$4:$C$11)+SUMIF('05.08'!$D$4:$D$11,A12,'05.08'!$E$4:$E$11)+SUMIF('05.08'!$F$4:$F$11,A12,'05.08'!$G$4:$G$11)+SUMIF('05.08'!$H$4:$H$11,A12,'05.08'!$I$4:$I$11)+SUMIF('05.08'!$J$4:$J$11,A12,'05.08'!$K$4:$K$11)+SUMIF('05.08'!$L$4:$L$11,A12,'05.08'!$M$4:$M$11)+SUMIF('05.08'!$N$4:$N$11,A12,'05.08'!$O$4:$O$11)</f>
        <v>0</v>
      </c>
      <c r="M12" s="15">
        <f>SUMIF('06.08'!$B$4:$B$11,A12,'06.08'!$C$4:$C$11)+SUMIF('06.08'!$D$4:$D$11,A12,'06.08'!$E$4:$E$11)+SUMIF('06.08'!$F$4:$F$11,A12,'06.08'!$G$4:$G$11)+SUMIF('06.08'!$H$4:$H$11,A12,'06.08'!$I$4:$I$11)+SUMIF('06.08'!$J$4:$J$11,A12,'06.08'!$K$4:$K$11)+SUMIF('06.08'!$L$4:$L$11,A12,'06.08'!$M$4:$M$11)+SUMIF('06.08'!$N$4:$N$11,A12,'06.08'!$O$4:$O$11)</f>
        <v>0</v>
      </c>
      <c r="N12" s="15">
        <f>SUMIF('07.08'!$B$4:$B$11,A12,'07.08'!$C$4:$C$11)+SUMIF('07.08'!$D$4:$D$11,A12,'07.08'!$E$4:$E$11)+SUMIF('07.08'!$F$4:$F$11,A12,'07.08'!$G$4:$G$11)+SUMIF('07.08'!$H$4:$H$11,A12,'07.08'!$I$4:$I$11)+SUMIF('07.08'!$J$4:$J$11,A12,'07.08'!$K$4:$K$11)+SUMIF('07.08'!$L$4:$L$11,A12,'07.08'!$M$4:$M$11)+SUMIF('07.08'!$N$4:$N$11,A12,'07.08'!$O$4:$O$11)</f>
        <v>0</v>
      </c>
      <c r="O12" s="15">
        <f>SUMIF('08.08'!$B$4:$B$11,A12,'08.08'!$C$4:$C$11)+SUMIF('08.08'!$D$4:$D$11,A12,'08.08'!$E$4:$E$11)+SUMIF('08.08'!$F$4:$F$11,A12,'08.08'!$G$4:$G$11)+SUMIF('08.08'!$H$4:$H$11,A12,'08.08'!$I$4:$I$11)+SUMIF('08.08'!$J$4:$J$11,A12,'08.08'!$K$4:$K$11)+SUMIF('08.08'!$L$4:$L$11,A12,'08.08'!$M$4:$M$11)+SUMIF('08.08'!$N$4:$N$11,A12,'08.08'!$O$4:$O$11)</f>
        <v>0</v>
      </c>
      <c r="P12" s="15">
        <f>SUMIF('09.08'!$B$4:$B$11,A12,'09.08'!$C$4:$C$11)+SUMIF('09.08'!$D$4:$D$11,A12,'09.08'!$E$4:$E$11)+SUMIF('09.08'!$F$4:$F$11,A12,'09.08'!$G$4:$G$11)+SUMIF('09.08'!$H$4:$H$11,A12,'09.08'!$I$4:$I$11)+SUMIF('09.08'!$J$4:$J$11,A12,'09.08'!$K$4:$K$11)+SUMIF('09.08'!$L$4:$L$11,A12,'09.08'!$M$4:$M$11)+SUMIF('09.08'!$N$4:$N$11,A12,'09.08'!$O$4:$O$11)</f>
        <v>0</v>
      </c>
      <c r="Q12" s="15">
        <f>SUMIF('10.08'!$B$4:$B$11,A12,'10.08'!$C$4:$C$11)+SUMIF('10.08'!$D$4:$D$11,A12,'10.08'!$E$4:$E$11)+SUMIF('10.08'!$F$4:$F$11,A12,'10.08'!$G$4:$G$11)+SUMIF('10.08'!$H$4:$H$11,A12,'10.08'!$I$4:$I$11)+SUMIF('10.08'!$J$4:$J$11,A12,'10.08'!$K$4:$K$11)+SUMIF('10.08'!$L$4:$L$11,A12,'10.08'!$M$4:$M$11)+SUMIF('10.08'!$N$4:$N$11,A12,'10.08'!$O$4:$O$11)</f>
        <v>0</v>
      </c>
      <c r="R12" s="16" t="str">
        <f t="shared" si="4"/>
        <v>#N/A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0" t="str">
        <f>'список продуктов'!A16</f>
        <v>Кабачки</v>
      </c>
      <c r="B13" s="10" t="str">
        <f>'список продуктов'!B16</f>
        <v>кг</v>
      </c>
      <c r="C13" s="10">
        <f>'список продуктов'!C16</f>
        <v>1000</v>
      </c>
      <c r="D13" s="10" t="str">
        <f>'список продуктов'!D16</f>
        <v/>
      </c>
      <c r="E13" s="10" t="str">
        <f>'список продуктов'!E16</f>
        <v>Краткосрочный</v>
      </c>
      <c r="F13" s="21" t="str">
        <f t="shared" si="1"/>
        <v>#N/A</v>
      </c>
      <c r="G13" s="22" t="str">
        <f t="shared" si="2"/>
        <v>Введите занчения</v>
      </c>
      <c r="H13" s="19" t="str">
        <f t="shared" si="3"/>
        <v>Введите занчения</v>
      </c>
      <c r="I13" s="14">
        <f>SUMIF('02.08'!$B$4:$B$11,A13,'02.08'!$C$4:$C$11)+SUMIF('02.08'!$D$4:$D$11,A13,'02.08'!$E$4:$E$11)+SUMIF('02.08'!$F$4:$F$11,A13,'02.08'!$G$4:$G$11)+SUMIF('02.08'!$H$4:$H$11,A13,'02.08'!$I$4:$I$11)+SUMIF('02.08'!$J$4:$J$11,A13,'02.08'!$K$4:$K$11)+SUMIF('02.08'!$L$4:$L$11,A13,'02.08'!$M$4:$M$11)+SUMIF('02.08'!$N$4:$N$11,A13,'02.08'!$O$4:$O$11)</f>
        <v>0</v>
      </c>
      <c r="J13" s="15">
        <f>SUMIF('03.08'!$B$4:$B$11,A13,'03.08'!$C$4:$C$11)+SUMIF('03.08'!$D$4:$D$11,A13,'03.08'!$E$4:$E$11)+SUMIF('03.08'!$F$4:$F$11,A13,'03.08'!$G$4:$G$11)+SUMIF('03.08'!$H$4:$H$11,A13,'03.08'!$I$4:$I$11)+SUMIF('03.08'!$J$4:$J$11,A13,'03.08'!$K$4:$K$11)+SUMIF('03.08'!$L$4:$L$11,A13,'03.08'!$M$4:$M$11)+SUMIF('03.08'!$N$4:$N$11,A13,'03.08'!$O$4:$O$11)</f>
        <v>0</v>
      </c>
      <c r="K13" s="15">
        <f>SUMIF('04.08'!$B$4:$B$11,A13,'04.08'!$C$4:$C$11)+SUMIF('04.08'!$D$4:$D$11,A13,'04.08'!$E$4:$E$11)+SUMIF('04.08'!$F$4:$F$11,A13,'04.08'!$G$4:$G$11)+SUMIF('04.08'!$H$4:$H$11,A13,'04.08'!$I$4:$I$11)+SUMIF('04.08'!$J$4:$J$11,A13,'04.08'!$K$4:$K$11)+SUMIF('04.08'!$L$4:$L$11,A13,'04.08'!$M$4:$M$11)+SUMIF('04.08'!$N$4:$N$11,A13,'04.08'!$O$4:$O$11)</f>
        <v>0</v>
      </c>
      <c r="L13" s="15">
        <f>SUMIF('05.08'!$B$4:$B$11,A13,'05.08'!$C$4:$C$11)+SUMIF('05.08'!$D$4:$D$11,A13,'05.08'!$E$4:$E$11)+SUMIF('05.08'!$F$4:$F$11,A13,'05.08'!$G$4:$G$11)+SUMIF('05.08'!$H$4:$H$11,A13,'05.08'!$I$4:$I$11)+SUMIF('05.08'!$J$4:$J$11,A13,'05.08'!$K$4:$K$11)+SUMIF('05.08'!$L$4:$L$11,A13,'05.08'!$M$4:$M$11)+SUMIF('05.08'!$N$4:$N$11,A13,'05.08'!$O$4:$O$11)</f>
        <v>0</v>
      </c>
      <c r="M13" s="15">
        <f>SUMIF('06.08'!$B$4:$B$11,A13,'06.08'!$C$4:$C$11)+SUMIF('06.08'!$D$4:$D$11,A13,'06.08'!$E$4:$E$11)+SUMIF('06.08'!$F$4:$F$11,A13,'06.08'!$G$4:$G$11)+SUMIF('06.08'!$H$4:$H$11,A13,'06.08'!$I$4:$I$11)+SUMIF('06.08'!$J$4:$J$11,A13,'06.08'!$K$4:$K$11)+SUMIF('06.08'!$L$4:$L$11,A13,'06.08'!$M$4:$M$11)+SUMIF('06.08'!$N$4:$N$11,A13,'06.08'!$O$4:$O$11)</f>
        <v>0</v>
      </c>
      <c r="N13" s="15">
        <f>SUMIF('07.08'!$B$4:$B$11,A13,'07.08'!$C$4:$C$11)+SUMIF('07.08'!$D$4:$D$11,A13,'07.08'!$E$4:$E$11)+SUMIF('07.08'!$F$4:$F$11,A13,'07.08'!$G$4:$G$11)+SUMIF('07.08'!$H$4:$H$11,A13,'07.08'!$I$4:$I$11)+SUMIF('07.08'!$J$4:$J$11,A13,'07.08'!$K$4:$K$11)+SUMIF('07.08'!$L$4:$L$11,A13,'07.08'!$M$4:$M$11)+SUMIF('07.08'!$N$4:$N$11,A13,'07.08'!$O$4:$O$11)</f>
        <v>0</v>
      </c>
      <c r="O13" s="15">
        <f>SUMIF('08.08'!$B$4:$B$11,A13,'08.08'!$C$4:$C$11)+SUMIF('08.08'!$D$4:$D$11,A13,'08.08'!$E$4:$E$11)+SUMIF('08.08'!$F$4:$F$11,A13,'08.08'!$G$4:$G$11)+SUMIF('08.08'!$H$4:$H$11,A13,'08.08'!$I$4:$I$11)+SUMIF('08.08'!$J$4:$J$11,A13,'08.08'!$K$4:$K$11)+SUMIF('08.08'!$L$4:$L$11,A13,'08.08'!$M$4:$M$11)+SUMIF('08.08'!$N$4:$N$11,A13,'08.08'!$O$4:$O$11)</f>
        <v>0</v>
      </c>
      <c r="P13" s="15">
        <f>SUMIF('09.08'!$B$4:$B$11,A13,'09.08'!$C$4:$C$11)+SUMIF('09.08'!$D$4:$D$11,A13,'09.08'!$E$4:$E$11)+SUMIF('09.08'!$F$4:$F$11,A13,'09.08'!$G$4:$G$11)+SUMIF('09.08'!$H$4:$H$11,A13,'09.08'!$I$4:$I$11)+SUMIF('09.08'!$J$4:$J$11,A13,'09.08'!$K$4:$K$11)+SUMIF('09.08'!$L$4:$L$11,A13,'09.08'!$M$4:$M$11)+SUMIF('09.08'!$N$4:$N$11,A13,'09.08'!$O$4:$O$11)</f>
        <v>0</v>
      </c>
      <c r="Q13" s="15">
        <f>SUMIF('10.08'!$B$4:$B$11,A13,'10.08'!$C$4:$C$11)+SUMIF('10.08'!$D$4:$D$11,A13,'10.08'!$E$4:$E$11)+SUMIF('10.08'!$F$4:$F$11,A13,'10.08'!$G$4:$G$11)+SUMIF('10.08'!$H$4:$H$11,A13,'10.08'!$I$4:$I$11)+SUMIF('10.08'!$J$4:$J$11,A13,'10.08'!$K$4:$K$11)+SUMIF('10.08'!$L$4:$L$11,A13,'10.08'!$M$4:$M$11)+SUMIF('10.08'!$N$4:$N$11,A13,'10.08'!$O$4:$O$11)</f>
        <v>0</v>
      </c>
      <c r="R13" s="16" t="str">
        <f t="shared" si="4"/>
        <v>#N/A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>
      <c r="A14" s="10" t="str">
        <f>'список продуктов'!A17</f>
        <v>Капуста</v>
      </c>
      <c r="B14" s="10" t="str">
        <f>'список продуктов'!B17</f>
        <v>кг</v>
      </c>
      <c r="C14" s="10">
        <f>'список продуктов'!C17</f>
        <v>1000</v>
      </c>
      <c r="D14" s="10" t="str">
        <f>'список продуктов'!D17</f>
        <v/>
      </c>
      <c r="E14" s="10" t="str">
        <f>'список продуктов'!E17</f>
        <v>Краткосрочный</v>
      </c>
      <c r="F14" s="21" t="str">
        <f t="shared" si="1"/>
        <v>#N/A</v>
      </c>
      <c r="G14" s="22" t="str">
        <f t="shared" si="2"/>
        <v>Введите занчения</v>
      </c>
      <c r="H14" s="19" t="str">
        <f t="shared" si="3"/>
        <v>Введите занчения</v>
      </c>
      <c r="I14" s="14">
        <f>SUMIF('02.08'!$B$4:$B$11,A14,'02.08'!$C$4:$C$11)+SUMIF('02.08'!$D$4:$D$11,A14,'02.08'!$E$4:$E$11)+SUMIF('02.08'!$F$4:$F$11,A14,'02.08'!$G$4:$G$11)+SUMIF('02.08'!$H$4:$H$11,A14,'02.08'!$I$4:$I$11)+SUMIF('02.08'!$J$4:$J$11,A14,'02.08'!$K$4:$K$11)+SUMIF('02.08'!$L$4:$L$11,A14,'02.08'!$M$4:$M$11)+SUMIF('02.08'!$N$4:$N$11,A14,'02.08'!$O$4:$O$11)</f>
        <v>0</v>
      </c>
      <c r="J14" s="15">
        <f>SUMIF('03.08'!$B$4:$B$11,A14,'03.08'!$C$4:$C$11)+SUMIF('03.08'!$D$4:$D$11,A14,'03.08'!$E$4:$E$11)+SUMIF('03.08'!$F$4:$F$11,A14,'03.08'!$G$4:$G$11)+SUMIF('03.08'!$H$4:$H$11,A14,'03.08'!$I$4:$I$11)+SUMIF('03.08'!$J$4:$J$11,A14,'03.08'!$K$4:$K$11)+SUMIF('03.08'!$L$4:$L$11,A14,'03.08'!$M$4:$M$11)+SUMIF('03.08'!$N$4:$N$11,A14,'03.08'!$O$4:$O$11)</f>
        <v>0</v>
      </c>
      <c r="K14" s="15">
        <f>SUMIF('04.08'!$B$4:$B$11,A14,'04.08'!$C$4:$C$11)+SUMIF('04.08'!$D$4:$D$11,A14,'04.08'!$E$4:$E$11)+SUMIF('04.08'!$F$4:$F$11,A14,'04.08'!$G$4:$G$11)+SUMIF('04.08'!$H$4:$H$11,A14,'04.08'!$I$4:$I$11)+SUMIF('04.08'!$J$4:$J$11,A14,'04.08'!$K$4:$K$11)+SUMIF('04.08'!$L$4:$L$11,A14,'04.08'!$M$4:$M$11)+SUMIF('04.08'!$N$4:$N$11,A14,'04.08'!$O$4:$O$11)</f>
        <v>0</v>
      </c>
      <c r="L14" s="15">
        <f>SUMIF('05.08'!$B$4:$B$11,A14,'05.08'!$C$4:$C$11)+SUMIF('05.08'!$D$4:$D$11,A14,'05.08'!$E$4:$E$11)+SUMIF('05.08'!$F$4:$F$11,A14,'05.08'!$G$4:$G$11)+SUMIF('05.08'!$H$4:$H$11,A14,'05.08'!$I$4:$I$11)+SUMIF('05.08'!$J$4:$J$11,A14,'05.08'!$K$4:$K$11)+SUMIF('05.08'!$L$4:$L$11,A14,'05.08'!$M$4:$M$11)+SUMIF('05.08'!$N$4:$N$11,A14,'05.08'!$O$4:$O$11)</f>
        <v>0</v>
      </c>
      <c r="M14" s="15">
        <f>SUMIF('06.08'!$B$4:$B$11,A14,'06.08'!$C$4:$C$11)+SUMIF('06.08'!$D$4:$D$11,A14,'06.08'!$E$4:$E$11)+SUMIF('06.08'!$F$4:$F$11,A14,'06.08'!$G$4:$G$11)+SUMIF('06.08'!$H$4:$H$11,A14,'06.08'!$I$4:$I$11)+SUMIF('06.08'!$J$4:$J$11,A14,'06.08'!$K$4:$K$11)+SUMIF('06.08'!$L$4:$L$11,A14,'06.08'!$M$4:$M$11)+SUMIF('06.08'!$N$4:$N$11,A14,'06.08'!$O$4:$O$11)</f>
        <v>0</v>
      </c>
      <c r="N14" s="15">
        <f>SUMIF('07.08'!$B$4:$B$11,A14,'07.08'!$C$4:$C$11)+SUMIF('07.08'!$D$4:$D$11,A14,'07.08'!$E$4:$E$11)+SUMIF('07.08'!$F$4:$F$11,A14,'07.08'!$G$4:$G$11)+SUMIF('07.08'!$H$4:$H$11,A14,'07.08'!$I$4:$I$11)+SUMIF('07.08'!$J$4:$J$11,A14,'07.08'!$K$4:$K$11)+SUMIF('07.08'!$L$4:$L$11,A14,'07.08'!$M$4:$M$11)+SUMIF('07.08'!$N$4:$N$11,A14,'07.08'!$O$4:$O$11)</f>
        <v>0</v>
      </c>
      <c r="O14" s="15">
        <f>SUMIF('08.08'!$B$4:$B$11,A14,'08.08'!$C$4:$C$11)+SUMIF('08.08'!$D$4:$D$11,A14,'08.08'!$E$4:$E$11)+SUMIF('08.08'!$F$4:$F$11,A14,'08.08'!$G$4:$G$11)+SUMIF('08.08'!$H$4:$H$11,A14,'08.08'!$I$4:$I$11)+SUMIF('08.08'!$J$4:$J$11,A14,'08.08'!$K$4:$K$11)+SUMIF('08.08'!$L$4:$L$11,A14,'08.08'!$M$4:$M$11)+SUMIF('08.08'!$N$4:$N$11,A14,'08.08'!$O$4:$O$11)</f>
        <v>0</v>
      </c>
      <c r="P14" s="15">
        <f>SUMIF('09.08'!$B$4:$B$11,A14,'09.08'!$C$4:$C$11)+SUMIF('09.08'!$D$4:$D$11,A14,'09.08'!$E$4:$E$11)+SUMIF('09.08'!$F$4:$F$11,A14,'09.08'!$G$4:$G$11)+SUMIF('09.08'!$H$4:$H$11,A14,'09.08'!$I$4:$I$11)+SUMIF('09.08'!$J$4:$J$11,A14,'09.08'!$K$4:$K$11)+SUMIF('09.08'!$L$4:$L$11,A14,'09.08'!$M$4:$M$11)+SUMIF('09.08'!$N$4:$N$11,A14,'09.08'!$O$4:$O$11)</f>
        <v>0</v>
      </c>
      <c r="Q14" s="15">
        <f>SUMIF('10.08'!$B$4:$B$11,A14,'10.08'!$C$4:$C$11)+SUMIF('10.08'!$D$4:$D$11,A14,'10.08'!$E$4:$E$11)+SUMIF('10.08'!$F$4:$F$11,A14,'10.08'!$G$4:$G$11)+SUMIF('10.08'!$H$4:$H$11,A14,'10.08'!$I$4:$I$11)+SUMIF('10.08'!$J$4:$J$11,A14,'10.08'!$K$4:$K$11)+SUMIF('10.08'!$L$4:$L$11,A14,'10.08'!$M$4:$M$11)+SUMIF('10.08'!$N$4:$N$11,A14,'10.08'!$O$4:$O$11)</f>
        <v>0</v>
      </c>
      <c r="R14" s="16" t="str">
        <f t="shared" si="4"/>
        <v>#N/A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0" t="str">
        <f>'список продуктов'!A18</f>
        <v>Картофель</v>
      </c>
      <c r="B15" s="10" t="str">
        <f>'список продуктов'!B18</f>
        <v>кг</v>
      </c>
      <c r="C15" s="10">
        <f>'список продуктов'!C18</f>
        <v>1000</v>
      </c>
      <c r="D15" s="10" t="str">
        <f>'список продуктов'!D18</f>
        <v/>
      </c>
      <c r="E15" s="10" t="str">
        <f>'список продуктов'!E18</f>
        <v>Краткосрочный</v>
      </c>
      <c r="F15" s="17" t="str">
        <f t="shared" si="1"/>
        <v>#N/A</v>
      </c>
      <c r="G15" s="18" t="str">
        <f t="shared" si="2"/>
        <v>Введите занчения</v>
      </c>
      <c r="H15" s="19" t="str">
        <f t="shared" si="3"/>
        <v>Введите занчения</v>
      </c>
      <c r="I15" s="14">
        <f>SUMIF('02.08'!$B$4:$B$11,A15,'02.08'!$C$4:$C$11)+SUMIF('02.08'!$D$4:$D$11,A15,'02.08'!$E$4:$E$11)+SUMIF('02.08'!$F$4:$F$11,A15,'02.08'!$G$4:$G$11)+SUMIF('02.08'!$H$4:$H$11,A15,'02.08'!$I$4:$I$11)+SUMIF('02.08'!$J$4:$J$11,A15,'02.08'!$K$4:$K$11)+SUMIF('02.08'!$L$4:$L$11,A15,'02.08'!$M$4:$M$11)+SUMIF('02.08'!$N$4:$N$11,A15,'02.08'!$O$4:$O$11)</f>
        <v>0</v>
      </c>
      <c r="J15" s="15">
        <f>SUMIF('03.08'!$B$4:$B$11,A15,'03.08'!$C$4:$C$11)+SUMIF('03.08'!$D$4:$D$11,A15,'03.08'!$E$4:$E$11)+SUMIF('03.08'!$F$4:$F$11,A15,'03.08'!$G$4:$G$11)+SUMIF('03.08'!$H$4:$H$11,A15,'03.08'!$I$4:$I$11)+SUMIF('03.08'!$J$4:$J$11,A15,'03.08'!$K$4:$K$11)+SUMIF('03.08'!$L$4:$L$11,A15,'03.08'!$M$4:$M$11)+SUMIF('03.08'!$N$4:$N$11,A15,'03.08'!$O$4:$O$11)</f>
        <v>0</v>
      </c>
      <c r="K15" s="15">
        <f>SUMIF('04.08'!$B$4:$B$11,A15,'04.08'!$C$4:$C$11)+SUMIF('04.08'!$D$4:$D$11,A15,'04.08'!$E$4:$E$11)+SUMIF('04.08'!$F$4:$F$11,A15,'04.08'!$G$4:$G$11)+SUMIF('04.08'!$H$4:$H$11,A15,'04.08'!$I$4:$I$11)+SUMIF('04.08'!$J$4:$J$11,A15,'04.08'!$K$4:$K$11)+SUMIF('04.08'!$L$4:$L$11,A15,'04.08'!$M$4:$M$11)+SUMIF('04.08'!$N$4:$N$11,A15,'04.08'!$O$4:$O$11)</f>
        <v>0</v>
      </c>
      <c r="L15" s="15">
        <f>SUMIF('05.08'!$B$4:$B$11,A15,'05.08'!$C$4:$C$11)+SUMIF('05.08'!$D$4:$D$11,A15,'05.08'!$E$4:$E$11)+SUMIF('05.08'!$F$4:$F$11,A15,'05.08'!$G$4:$G$11)+SUMIF('05.08'!$H$4:$H$11,A15,'05.08'!$I$4:$I$11)+SUMIF('05.08'!$J$4:$J$11,A15,'05.08'!$K$4:$K$11)+SUMIF('05.08'!$L$4:$L$11,A15,'05.08'!$M$4:$M$11)+SUMIF('05.08'!$N$4:$N$11,A15,'05.08'!$O$4:$O$11)</f>
        <v>0</v>
      </c>
      <c r="M15" s="15">
        <f>SUMIF('06.08'!$B$4:$B$11,A15,'06.08'!$C$4:$C$11)+SUMIF('06.08'!$D$4:$D$11,A15,'06.08'!$E$4:$E$11)+SUMIF('06.08'!$F$4:$F$11,A15,'06.08'!$G$4:$G$11)+SUMIF('06.08'!$H$4:$H$11,A15,'06.08'!$I$4:$I$11)+SUMIF('06.08'!$J$4:$J$11,A15,'06.08'!$K$4:$K$11)+SUMIF('06.08'!$L$4:$L$11,A15,'06.08'!$M$4:$M$11)+SUMIF('06.08'!$N$4:$N$11,A15,'06.08'!$O$4:$O$11)</f>
        <v>0</v>
      </c>
      <c r="N15" s="15">
        <f>SUMIF('07.08'!$B$4:$B$11,A15,'07.08'!$C$4:$C$11)+SUMIF('07.08'!$D$4:$D$11,A15,'07.08'!$E$4:$E$11)+SUMIF('07.08'!$F$4:$F$11,A15,'07.08'!$G$4:$G$11)+SUMIF('07.08'!$H$4:$H$11,A15,'07.08'!$I$4:$I$11)+SUMIF('07.08'!$J$4:$J$11,A15,'07.08'!$K$4:$K$11)+SUMIF('07.08'!$L$4:$L$11,A15,'07.08'!$M$4:$M$11)+SUMIF('07.08'!$N$4:$N$11,A15,'07.08'!$O$4:$O$11)</f>
        <v>0</v>
      </c>
      <c r="O15" s="15">
        <f>SUMIF('08.08'!$B$4:$B$11,A15,'08.08'!$C$4:$C$11)+SUMIF('08.08'!$D$4:$D$11,A15,'08.08'!$E$4:$E$11)+SUMIF('08.08'!$F$4:$F$11,A15,'08.08'!$G$4:$G$11)+SUMIF('08.08'!$H$4:$H$11,A15,'08.08'!$I$4:$I$11)+SUMIF('08.08'!$J$4:$J$11,A15,'08.08'!$K$4:$K$11)+SUMIF('08.08'!$L$4:$L$11,A15,'08.08'!$M$4:$M$11)+SUMIF('08.08'!$N$4:$N$11,A15,'08.08'!$O$4:$O$11)</f>
        <v>0</v>
      </c>
      <c r="P15" s="15">
        <f>SUMIF('09.08'!$B$4:$B$11,A15,'09.08'!$C$4:$C$11)+SUMIF('09.08'!$D$4:$D$11,A15,'09.08'!$E$4:$E$11)+SUMIF('09.08'!$F$4:$F$11,A15,'09.08'!$G$4:$G$11)+SUMIF('09.08'!$H$4:$H$11,A15,'09.08'!$I$4:$I$11)+SUMIF('09.08'!$J$4:$J$11,A15,'09.08'!$K$4:$K$11)+SUMIF('09.08'!$L$4:$L$11,A15,'09.08'!$M$4:$M$11)+SUMIF('09.08'!$N$4:$N$11,A15,'09.08'!$O$4:$O$11)</f>
        <v>0</v>
      </c>
      <c r="Q15" s="15">
        <f>SUMIF('10.08'!$B$4:$B$11,A15,'10.08'!$C$4:$C$11)+SUMIF('10.08'!$D$4:$D$11,A15,'10.08'!$E$4:$E$11)+SUMIF('10.08'!$F$4:$F$11,A15,'10.08'!$G$4:$G$11)+SUMIF('10.08'!$H$4:$H$11,A15,'10.08'!$I$4:$I$11)+SUMIF('10.08'!$J$4:$J$11,A15,'10.08'!$K$4:$K$11)+SUMIF('10.08'!$L$4:$L$11,A15,'10.08'!$M$4:$M$11)+SUMIF('10.08'!$N$4:$N$11,A15,'10.08'!$O$4:$O$11)</f>
        <v>0</v>
      </c>
      <c r="R15" s="16" t="str">
        <f t="shared" si="4"/>
        <v>#N/A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>
      <c r="A16" s="10" t="str">
        <f>'список продуктов'!A19</f>
        <v>Колбаса</v>
      </c>
      <c r="B16" s="10" t="str">
        <f>'список продуктов'!B19</f>
        <v>палка</v>
      </c>
      <c r="C16" s="10" t="str">
        <f>'список продуктов'!C19</f>
        <v/>
      </c>
      <c r="D16" s="10" t="str">
        <f>'список продуктов'!D19</f>
        <v/>
      </c>
      <c r="E16" s="10" t="str">
        <f>'список продуктов'!E19</f>
        <v>Краткосрочный</v>
      </c>
      <c r="F16" s="17" t="str">
        <f t="shared" si="1"/>
        <v>#N/A</v>
      </c>
      <c r="G16" s="18" t="str">
        <f t="shared" si="2"/>
        <v>Введите занчения</v>
      </c>
      <c r="H16" s="19" t="str">
        <f t="shared" si="3"/>
        <v>Введите занчения</v>
      </c>
      <c r="I16" s="14">
        <f>SUMIF('02.08'!$B$4:$B$11,A16,'02.08'!$C$4:$C$11)+SUMIF('02.08'!$D$4:$D$11,A16,'02.08'!$E$4:$E$11)+SUMIF('02.08'!$F$4:$F$11,A16,'02.08'!$G$4:$G$11)+SUMIF('02.08'!$H$4:$H$11,A16,'02.08'!$I$4:$I$11)+SUMIF('02.08'!$J$4:$J$11,A16,'02.08'!$K$4:$K$11)+SUMIF('02.08'!$L$4:$L$11,A16,'02.08'!$M$4:$M$11)+SUMIF('02.08'!$N$4:$N$11,A16,'02.08'!$O$4:$O$11)</f>
        <v>0</v>
      </c>
      <c r="J16" s="15">
        <f>SUMIF('03.08'!$B$4:$B$11,A16,'03.08'!$C$4:$C$11)+SUMIF('03.08'!$D$4:$D$11,A16,'03.08'!$E$4:$E$11)+SUMIF('03.08'!$F$4:$F$11,A16,'03.08'!$G$4:$G$11)+SUMIF('03.08'!$H$4:$H$11,A16,'03.08'!$I$4:$I$11)+SUMIF('03.08'!$J$4:$J$11,A16,'03.08'!$K$4:$K$11)+SUMIF('03.08'!$L$4:$L$11,A16,'03.08'!$M$4:$M$11)+SUMIF('03.08'!$N$4:$N$11,A16,'03.08'!$O$4:$O$11)</f>
        <v>0</v>
      </c>
      <c r="K16" s="15">
        <f>SUMIF('04.08'!$B$4:$B$11,A16,'04.08'!$C$4:$C$11)+SUMIF('04.08'!$D$4:$D$11,A16,'04.08'!$E$4:$E$11)+SUMIF('04.08'!$F$4:$F$11,A16,'04.08'!$G$4:$G$11)+SUMIF('04.08'!$H$4:$H$11,A16,'04.08'!$I$4:$I$11)+SUMIF('04.08'!$J$4:$J$11,A16,'04.08'!$K$4:$K$11)+SUMIF('04.08'!$L$4:$L$11,A16,'04.08'!$M$4:$M$11)+SUMIF('04.08'!$N$4:$N$11,A16,'04.08'!$O$4:$O$11)</f>
        <v>0</v>
      </c>
      <c r="L16" s="15">
        <f>SUMIF('05.08'!$B$4:$B$11,A16,'05.08'!$C$4:$C$11)+SUMIF('05.08'!$D$4:$D$11,A16,'05.08'!$E$4:$E$11)+SUMIF('05.08'!$F$4:$F$11,A16,'05.08'!$G$4:$G$11)+SUMIF('05.08'!$H$4:$H$11,A16,'05.08'!$I$4:$I$11)+SUMIF('05.08'!$J$4:$J$11,A16,'05.08'!$K$4:$K$11)+SUMIF('05.08'!$L$4:$L$11,A16,'05.08'!$M$4:$M$11)+SUMIF('05.08'!$N$4:$N$11,A16,'05.08'!$O$4:$O$11)</f>
        <v>0</v>
      </c>
      <c r="M16" s="15">
        <f>SUMIF('06.08'!$B$4:$B$11,A16,'06.08'!$C$4:$C$11)+SUMIF('06.08'!$D$4:$D$11,A16,'06.08'!$E$4:$E$11)+SUMIF('06.08'!$F$4:$F$11,A16,'06.08'!$G$4:$G$11)+SUMIF('06.08'!$H$4:$H$11,A16,'06.08'!$I$4:$I$11)+SUMIF('06.08'!$J$4:$J$11,A16,'06.08'!$K$4:$K$11)+SUMIF('06.08'!$L$4:$L$11,A16,'06.08'!$M$4:$M$11)+SUMIF('06.08'!$N$4:$N$11,A16,'06.08'!$O$4:$O$11)</f>
        <v>0</v>
      </c>
      <c r="N16" s="15">
        <f>SUMIF('07.08'!$B$4:$B$11,A16,'07.08'!$C$4:$C$11)+SUMIF('07.08'!$D$4:$D$11,A16,'07.08'!$E$4:$E$11)+SUMIF('07.08'!$F$4:$F$11,A16,'07.08'!$G$4:$G$11)+SUMIF('07.08'!$H$4:$H$11,A16,'07.08'!$I$4:$I$11)+SUMIF('07.08'!$J$4:$J$11,A16,'07.08'!$K$4:$K$11)+SUMIF('07.08'!$L$4:$L$11,A16,'07.08'!$M$4:$M$11)+SUMIF('07.08'!$N$4:$N$11,A16,'07.08'!$O$4:$O$11)</f>
        <v>0</v>
      </c>
      <c r="O16" s="15">
        <f>SUMIF('08.08'!$B$4:$B$11,A16,'08.08'!$C$4:$C$11)+SUMIF('08.08'!$D$4:$D$11,A16,'08.08'!$E$4:$E$11)+SUMIF('08.08'!$F$4:$F$11,A16,'08.08'!$G$4:$G$11)+SUMIF('08.08'!$H$4:$H$11,A16,'08.08'!$I$4:$I$11)+SUMIF('08.08'!$J$4:$J$11,A16,'08.08'!$K$4:$K$11)+SUMIF('08.08'!$L$4:$L$11,A16,'08.08'!$M$4:$M$11)+SUMIF('08.08'!$N$4:$N$11,A16,'08.08'!$O$4:$O$11)</f>
        <v>0</v>
      </c>
      <c r="P16" s="15">
        <f>SUMIF('09.08'!$B$4:$B$11,A16,'09.08'!$C$4:$C$11)+SUMIF('09.08'!$D$4:$D$11,A16,'09.08'!$E$4:$E$11)+SUMIF('09.08'!$F$4:$F$11,A16,'09.08'!$G$4:$G$11)+SUMIF('09.08'!$H$4:$H$11,A16,'09.08'!$I$4:$I$11)+SUMIF('09.08'!$J$4:$J$11,A16,'09.08'!$K$4:$K$11)+SUMIF('09.08'!$L$4:$L$11,A16,'09.08'!$M$4:$M$11)+SUMIF('09.08'!$N$4:$N$11,A16,'09.08'!$O$4:$O$11)</f>
        <v>0</v>
      </c>
      <c r="Q16" s="15">
        <f>SUMIF('10.08'!$B$4:$B$11,A16,'10.08'!$C$4:$C$11)+SUMIF('10.08'!$D$4:$D$11,A16,'10.08'!$E$4:$E$11)+SUMIF('10.08'!$F$4:$F$11,A16,'10.08'!$G$4:$G$11)+SUMIF('10.08'!$H$4:$H$11,A16,'10.08'!$I$4:$I$11)+SUMIF('10.08'!$J$4:$J$11,A16,'10.08'!$K$4:$K$11)+SUMIF('10.08'!$L$4:$L$11,A16,'10.08'!$M$4:$M$11)+SUMIF('10.08'!$N$4:$N$11,A16,'10.08'!$O$4:$O$11)</f>
        <v>0</v>
      </c>
      <c r="R16" s="16" t="str">
        <f t="shared" si="4"/>
        <v>#N/A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0" t="str">
        <f>'список продуктов'!A20</f>
        <v>кофе</v>
      </c>
      <c r="B17" s="10" t="str">
        <f>'список продуктов'!B20</f>
        <v>банка</v>
      </c>
      <c r="C17" s="10" t="str">
        <f>'список продуктов'!C20</f>
        <v/>
      </c>
      <c r="D17" s="10" t="str">
        <f>'список продуктов'!D20</f>
        <v/>
      </c>
      <c r="E17" s="10" t="str">
        <f>'список продуктов'!E20</f>
        <v>Долгосрочный</v>
      </c>
      <c r="F17" s="17" t="str">
        <f t="shared" si="1"/>
        <v>#N/A</v>
      </c>
      <c r="G17" s="18" t="str">
        <f t="shared" si="2"/>
        <v>Введите занчения</v>
      </c>
      <c r="H17" s="19" t="str">
        <f t="shared" si="3"/>
        <v>Введите занчения</v>
      </c>
      <c r="I17" s="14">
        <f>SUMIF('02.08'!$B$4:$B$11,A17,'02.08'!$C$4:$C$11)+SUMIF('02.08'!$D$4:$D$11,A17,'02.08'!$E$4:$E$11)+SUMIF('02.08'!$F$4:$F$11,A17,'02.08'!$G$4:$G$11)+SUMIF('02.08'!$H$4:$H$11,A17,'02.08'!$I$4:$I$11)+SUMIF('02.08'!$J$4:$J$11,A17,'02.08'!$K$4:$K$11)+SUMIF('02.08'!$L$4:$L$11,A17,'02.08'!$M$4:$M$11)+SUMIF('02.08'!$N$4:$N$11,A17,'02.08'!$O$4:$O$11)</f>
        <v>0</v>
      </c>
      <c r="J17" s="15">
        <f>SUMIF('03.08'!$B$4:$B$11,A17,'03.08'!$C$4:$C$11)+SUMIF('03.08'!$D$4:$D$11,A17,'03.08'!$E$4:$E$11)+SUMIF('03.08'!$F$4:$F$11,A17,'03.08'!$G$4:$G$11)+SUMIF('03.08'!$H$4:$H$11,A17,'03.08'!$I$4:$I$11)+SUMIF('03.08'!$J$4:$J$11,A17,'03.08'!$K$4:$K$11)+SUMIF('03.08'!$L$4:$L$11,A17,'03.08'!$M$4:$M$11)+SUMIF('03.08'!$N$4:$N$11,A17,'03.08'!$O$4:$O$11)</f>
        <v>0</v>
      </c>
      <c r="K17" s="15">
        <f>SUMIF('04.08'!$B$4:$B$11,A17,'04.08'!$C$4:$C$11)+SUMIF('04.08'!$D$4:$D$11,A17,'04.08'!$E$4:$E$11)+SUMIF('04.08'!$F$4:$F$11,A17,'04.08'!$G$4:$G$11)+SUMIF('04.08'!$H$4:$H$11,A17,'04.08'!$I$4:$I$11)+SUMIF('04.08'!$J$4:$J$11,A17,'04.08'!$K$4:$K$11)+SUMIF('04.08'!$L$4:$L$11,A17,'04.08'!$M$4:$M$11)+SUMIF('04.08'!$N$4:$N$11,A17,'04.08'!$O$4:$O$11)</f>
        <v>0</v>
      </c>
      <c r="L17" s="15">
        <f>SUMIF('05.08'!$B$4:$B$11,A17,'05.08'!$C$4:$C$11)+SUMIF('05.08'!$D$4:$D$11,A17,'05.08'!$E$4:$E$11)+SUMIF('05.08'!$F$4:$F$11,A17,'05.08'!$G$4:$G$11)+SUMIF('05.08'!$H$4:$H$11,A17,'05.08'!$I$4:$I$11)+SUMIF('05.08'!$J$4:$J$11,A17,'05.08'!$K$4:$K$11)+SUMIF('05.08'!$L$4:$L$11,A17,'05.08'!$M$4:$M$11)+SUMIF('05.08'!$N$4:$N$11,A17,'05.08'!$O$4:$O$11)</f>
        <v>0</v>
      </c>
      <c r="M17" s="15">
        <f>SUMIF('06.08'!$B$4:$B$11,A17,'06.08'!$C$4:$C$11)+SUMIF('06.08'!$D$4:$D$11,A17,'06.08'!$E$4:$E$11)+SUMIF('06.08'!$F$4:$F$11,A17,'06.08'!$G$4:$G$11)+SUMIF('06.08'!$H$4:$H$11,A17,'06.08'!$I$4:$I$11)+SUMIF('06.08'!$J$4:$J$11,A17,'06.08'!$K$4:$K$11)+SUMIF('06.08'!$L$4:$L$11,A17,'06.08'!$M$4:$M$11)+SUMIF('06.08'!$N$4:$N$11,A17,'06.08'!$O$4:$O$11)</f>
        <v>0</v>
      </c>
      <c r="N17" s="15">
        <f>SUMIF('07.08'!$B$4:$B$11,A17,'07.08'!$C$4:$C$11)+SUMIF('07.08'!$D$4:$D$11,A17,'07.08'!$E$4:$E$11)+SUMIF('07.08'!$F$4:$F$11,A17,'07.08'!$G$4:$G$11)+SUMIF('07.08'!$H$4:$H$11,A17,'07.08'!$I$4:$I$11)+SUMIF('07.08'!$J$4:$J$11,A17,'07.08'!$K$4:$K$11)+SUMIF('07.08'!$L$4:$L$11,A17,'07.08'!$M$4:$M$11)+SUMIF('07.08'!$N$4:$N$11,A17,'07.08'!$O$4:$O$11)</f>
        <v>0</v>
      </c>
      <c r="O17" s="15">
        <f>SUMIF('08.08'!$B$4:$B$11,A17,'08.08'!$C$4:$C$11)+SUMIF('08.08'!$D$4:$D$11,A17,'08.08'!$E$4:$E$11)+SUMIF('08.08'!$F$4:$F$11,A17,'08.08'!$G$4:$G$11)+SUMIF('08.08'!$H$4:$H$11,A17,'08.08'!$I$4:$I$11)+SUMIF('08.08'!$J$4:$J$11,A17,'08.08'!$K$4:$K$11)+SUMIF('08.08'!$L$4:$L$11,A17,'08.08'!$M$4:$M$11)+SUMIF('08.08'!$N$4:$N$11,A17,'08.08'!$O$4:$O$11)</f>
        <v>0</v>
      </c>
      <c r="P17" s="15">
        <f>SUMIF('09.08'!$B$4:$B$11,A17,'09.08'!$C$4:$C$11)+SUMIF('09.08'!$D$4:$D$11,A17,'09.08'!$E$4:$E$11)+SUMIF('09.08'!$F$4:$F$11,A17,'09.08'!$G$4:$G$11)+SUMIF('09.08'!$H$4:$H$11,A17,'09.08'!$I$4:$I$11)+SUMIF('09.08'!$J$4:$J$11,A17,'09.08'!$K$4:$K$11)+SUMIF('09.08'!$L$4:$L$11,A17,'09.08'!$M$4:$M$11)+SUMIF('09.08'!$N$4:$N$11,A17,'09.08'!$O$4:$O$11)</f>
        <v>0</v>
      </c>
      <c r="Q17" s="15">
        <f>SUMIF('10.08'!$B$4:$B$11,A17,'10.08'!$C$4:$C$11)+SUMIF('10.08'!$D$4:$D$11,A17,'10.08'!$E$4:$E$11)+SUMIF('10.08'!$F$4:$F$11,A17,'10.08'!$G$4:$G$11)+SUMIF('10.08'!$H$4:$H$11,A17,'10.08'!$I$4:$I$11)+SUMIF('10.08'!$J$4:$J$11,A17,'10.08'!$K$4:$K$11)+SUMIF('10.08'!$L$4:$L$11,A17,'10.08'!$M$4:$M$11)+SUMIF('10.08'!$N$4:$N$11,A17,'10.08'!$O$4:$O$11)</f>
        <v>20</v>
      </c>
      <c r="R17" s="16" t="str">
        <f t="shared" si="4"/>
        <v>#N/A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0" t="str">
        <f>'список продуктов'!A23</f>
        <v>Кускус</v>
      </c>
      <c r="B18" s="10" t="str">
        <f>'список продуктов'!B23</f>
        <v>кг</v>
      </c>
      <c r="C18" s="10" t="str">
        <f>'список продуктов'!C23</f>
        <v/>
      </c>
      <c r="D18" s="10" t="str">
        <f>'список продуктов'!D23</f>
        <v/>
      </c>
      <c r="E18" s="10" t="str">
        <f>'список продуктов'!E23</f>
        <v>Долгосрочный</v>
      </c>
      <c r="F18" s="21">
        <v>1.0</v>
      </c>
      <c r="G18" s="22">
        <v>1.0</v>
      </c>
      <c r="H18" s="19">
        <f t="shared" si="3"/>
        <v>0</v>
      </c>
      <c r="I18" s="14">
        <f>SUMIF('02.08'!$B$4:$B$11,A18,'02.08'!$C$4:$C$11)+SUMIF('02.08'!$D$4:$D$11,A18,'02.08'!$E$4:$E$11)+SUMIF('02.08'!$F$4:$F$11,A18,'02.08'!$G$4:$G$11)+SUMIF('02.08'!$H$4:$H$11,A18,'02.08'!$I$4:$I$11)+SUMIF('02.08'!$J$4:$J$11,A18,'02.08'!$K$4:$K$11)+SUMIF('02.08'!$L$4:$L$11,A18,'02.08'!$M$4:$M$11)+SUMIF('02.08'!$N$4:$N$11,A18,'02.08'!$O$4:$O$11)</f>
        <v>0</v>
      </c>
      <c r="J18" s="15">
        <f>SUMIF('03.08'!$B$4:$B$11,A18,'03.08'!$C$4:$C$11)+SUMIF('03.08'!$D$4:$D$11,A18,'03.08'!$E$4:$E$11)+SUMIF('03.08'!$F$4:$F$11,A18,'03.08'!$G$4:$G$11)+SUMIF('03.08'!$H$4:$H$11,A18,'03.08'!$I$4:$I$11)+SUMIF('03.08'!$J$4:$J$11,A18,'03.08'!$K$4:$K$11)+SUMIF('03.08'!$L$4:$L$11,A18,'03.08'!$M$4:$M$11)+SUMIF('03.08'!$N$4:$N$11,A18,'03.08'!$O$4:$O$11)</f>
        <v>0</v>
      </c>
      <c r="K18" s="15">
        <f>SUMIF('04.08'!$B$4:$B$11,A18,'04.08'!$C$4:$C$11)+SUMIF('04.08'!$D$4:$D$11,A18,'04.08'!$E$4:$E$11)+SUMIF('04.08'!$F$4:$F$11,A18,'04.08'!$G$4:$G$11)+SUMIF('04.08'!$H$4:$H$11,A18,'04.08'!$I$4:$I$11)+SUMIF('04.08'!$J$4:$J$11,A18,'04.08'!$K$4:$K$11)+SUMIF('04.08'!$L$4:$L$11,A18,'04.08'!$M$4:$M$11)+SUMIF('04.08'!$N$4:$N$11,A18,'04.08'!$O$4:$O$11)</f>
        <v>0</v>
      </c>
      <c r="L18" s="15">
        <f>SUMIF('05.08'!$B$4:$B$11,A18,'05.08'!$C$4:$C$11)+SUMIF('05.08'!$D$4:$D$11,A18,'05.08'!$E$4:$E$11)+SUMIF('05.08'!$F$4:$F$11,A18,'05.08'!$G$4:$G$11)+SUMIF('05.08'!$H$4:$H$11,A18,'05.08'!$I$4:$I$11)+SUMIF('05.08'!$J$4:$J$11,A18,'05.08'!$K$4:$K$11)+SUMIF('05.08'!$L$4:$L$11,A18,'05.08'!$M$4:$M$11)+SUMIF('05.08'!$N$4:$N$11,A18,'05.08'!$O$4:$O$11)</f>
        <v>0</v>
      </c>
      <c r="M18" s="15">
        <f>SUMIF('06.08'!$B$4:$B$11,A18,'06.08'!$C$4:$C$11)+SUMIF('06.08'!$D$4:$D$11,A18,'06.08'!$E$4:$E$11)+SUMIF('06.08'!$F$4:$F$11,A18,'06.08'!$G$4:$G$11)+SUMIF('06.08'!$H$4:$H$11,A18,'06.08'!$I$4:$I$11)+SUMIF('06.08'!$J$4:$J$11,A18,'06.08'!$K$4:$K$11)+SUMIF('06.08'!$L$4:$L$11,A18,'06.08'!$M$4:$M$11)+SUMIF('06.08'!$N$4:$N$11,A18,'06.08'!$O$4:$O$11)</f>
        <v>0</v>
      </c>
      <c r="N18" s="15">
        <f>SUMIF('07.08'!$B$4:$B$11,A18,'07.08'!$C$4:$C$11)+SUMIF('07.08'!$D$4:$D$11,A18,'07.08'!$E$4:$E$11)+SUMIF('07.08'!$F$4:$F$11,A18,'07.08'!$G$4:$G$11)+SUMIF('07.08'!$H$4:$H$11,A18,'07.08'!$I$4:$I$11)+SUMIF('07.08'!$J$4:$J$11,A18,'07.08'!$K$4:$K$11)+SUMIF('07.08'!$L$4:$L$11,A18,'07.08'!$M$4:$M$11)+SUMIF('07.08'!$N$4:$N$11,A18,'07.08'!$O$4:$O$11)</f>
        <v>0</v>
      </c>
      <c r="O18" s="15">
        <f>SUMIF('08.08'!$B$4:$B$11,A18,'08.08'!$C$4:$C$11)+SUMIF('08.08'!$D$4:$D$11,A18,'08.08'!$E$4:$E$11)+SUMIF('08.08'!$F$4:$F$11,A18,'08.08'!$G$4:$G$11)+SUMIF('08.08'!$H$4:$H$11,A18,'08.08'!$I$4:$I$11)+SUMIF('08.08'!$J$4:$J$11,A18,'08.08'!$K$4:$K$11)+SUMIF('08.08'!$L$4:$L$11,A18,'08.08'!$M$4:$M$11)+SUMIF('08.08'!$N$4:$N$11,A18,'08.08'!$O$4:$O$11)</f>
        <v>0</v>
      </c>
      <c r="P18" s="15">
        <f>SUMIF('09.08'!$B$4:$B$11,A18,'09.08'!$C$4:$C$11)+SUMIF('09.08'!$D$4:$D$11,A18,'09.08'!$E$4:$E$11)+SUMIF('09.08'!$F$4:$F$11,A18,'09.08'!$G$4:$G$11)+SUMIF('09.08'!$H$4:$H$11,A18,'09.08'!$I$4:$I$11)+SUMIF('09.08'!$J$4:$J$11,A18,'09.08'!$K$4:$K$11)+SUMIF('09.08'!$L$4:$L$11,A18,'09.08'!$M$4:$M$11)+SUMIF('09.08'!$N$4:$N$11,A18,'09.08'!$O$4:$O$11)</f>
        <v>0</v>
      </c>
      <c r="Q18" s="15">
        <f>SUMIF('10.08'!$B$4:$B$11,A18,'10.08'!$C$4:$C$11)+SUMIF('10.08'!$D$4:$D$11,A18,'10.08'!$E$4:$E$11)+SUMIF('10.08'!$F$4:$F$11,A18,'10.08'!$G$4:$G$11)+SUMIF('10.08'!$H$4:$H$11,A18,'10.08'!$I$4:$I$11)+SUMIF('10.08'!$J$4:$J$11,A18,'10.08'!$K$4:$K$11)+SUMIF('10.08'!$L$4:$L$11,A18,'10.08'!$M$4:$M$11)+SUMIF('10.08'!$N$4:$N$11,A18,'10.08'!$O$4:$O$11)</f>
        <v>0</v>
      </c>
      <c r="R18" s="16" t="str">
        <f t="shared" si="4"/>
        <v>#N/A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0" t="str">
        <f>'список продуктов'!A24</f>
        <v>Лавровый лист</v>
      </c>
      <c r="B19" s="10" t="str">
        <f>'список продуктов'!B24</f>
        <v>пачка</v>
      </c>
      <c r="C19" s="10" t="str">
        <f>'список продуктов'!C24</f>
        <v/>
      </c>
      <c r="D19" s="10" t="str">
        <f>'список продуктов'!D24</f>
        <v/>
      </c>
      <c r="E19" s="10" t="str">
        <f>'список продуктов'!E24</f>
        <v>Долгосрочный</v>
      </c>
      <c r="F19" s="21" t="str">
        <f t="shared" ref="F19:F46" si="5">SUM(I19:R19)</f>
        <v>#N/A</v>
      </c>
      <c r="G19" s="22" t="str">
        <f>IFERROR(CEILING(F19/C19,1),"Введите занчения")</f>
        <v>Введите занчения</v>
      </c>
      <c r="H19" s="19" t="str">
        <f t="shared" si="3"/>
        <v>Введите занчения</v>
      </c>
      <c r="I19" s="14">
        <f>SUMIF('02.08'!$B$4:$B$11,A19,'02.08'!$C$4:$C$11)+SUMIF('02.08'!$D$4:$D$11,A19,'02.08'!$E$4:$E$11)+SUMIF('02.08'!$F$4:$F$11,A19,'02.08'!$G$4:$G$11)+SUMIF('02.08'!$H$4:$H$11,A19,'02.08'!$I$4:$I$11)+SUMIF('02.08'!$J$4:$J$11,A19,'02.08'!$K$4:$K$11)+SUMIF('02.08'!$L$4:$L$11,A19,'02.08'!$M$4:$M$11)+SUMIF('02.08'!$N$4:$N$11,A19,'02.08'!$O$4:$O$11)</f>
        <v>0</v>
      </c>
      <c r="J19" s="15">
        <f>SUMIF('03.08'!$B$4:$B$11,A19,'03.08'!$C$4:$C$11)+SUMIF('03.08'!$D$4:$D$11,A19,'03.08'!$E$4:$E$11)+SUMIF('03.08'!$F$4:$F$11,A19,'03.08'!$G$4:$G$11)+SUMIF('03.08'!$H$4:$H$11,A19,'03.08'!$I$4:$I$11)+SUMIF('03.08'!$J$4:$J$11,A19,'03.08'!$K$4:$K$11)+SUMIF('03.08'!$L$4:$L$11,A19,'03.08'!$M$4:$M$11)+SUMIF('03.08'!$N$4:$N$11,A19,'03.08'!$O$4:$O$11)</f>
        <v>0</v>
      </c>
      <c r="K19" s="15">
        <f>SUMIF('04.08'!$B$4:$B$11,A19,'04.08'!$C$4:$C$11)+SUMIF('04.08'!$D$4:$D$11,A19,'04.08'!$E$4:$E$11)+SUMIF('04.08'!$F$4:$F$11,A19,'04.08'!$G$4:$G$11)+SUMIF('04.08'!$H$4:$H$11,A19,'04.08'!$I$4:$I$11)+SUMIF('04.08'!$J$4:$J$11,A19,'04.08'!$K$4:$K$11)+SUMIF('04.08'!$L$4:$L$11,A19,'04.08'!$M$4:$M$11)+SUMIF('04.08'!$N$4:$N$11,A19,'04.08'!$O$4:$O$11)</f>
        <v>0</v>
      </c>
      <c r="L19" s="15">
        <f>SUMIF('05.08'!$B$4:$B$11,A19,'05.08'!$C$4:$C$11)+SUMIF('05.08'!$D$4:$D$11,A19,'05.08'!$E$4:$E$11)+SUMIF('05.08'!$F$4:$F$11,A19,'05.08'!$G$4:$G$11)+SUMIF('05.08'!$H$4:$H$11,A19,'05.08'!$I$4:$I$11)+SUMIF('05.08'!$J$4:$J$11,A19,'05.08'!$K$4:$K$11)+SUMIF('05.08'!$L$4:$L$11,A19,'05.08'!$M$4:$M$11)+SUMIF('05.08'!$N$4:$N$11,A19,'05.08'!$O$4:$O$11)</f>
        <v>0</v>
      </c>
      <c r="M19" s="15">
        <f>SUMIF('06.08'!$B$4:$B$11,A19,'06.08'!$C$4:$C$11)+SUMIF('06.08'!$D$4:$D$11,A19,'06.08'!$E$4:$E$11)+SUMIF('06.08'!$F$4:$F$11,A19,'06.08'!$G$4:$G$11)+SUMIF('06.08'!$H$4:$H$11,A19,'06.08'!$I$4:$I$11)+SUMIF('06.08'!$J$4:$J$11,A19,'06.08'!$K$4:$K$11)+SUMIF('06.08'!$L$4:$L$11,A19,'06.08'!$M$4:$M$11)+SUMIF('06.08'!$N$4:$N$11,A19,'06.08'!$O$4:$O$11)</f>
        <v>0</v>
      </c>
      <c r="N19" s="15">
        <f>SUMIF('07.08'!$B$4:$B$11,A19,'07.08'!$C$4:$C$11)+SUMIF('07.08'!$D$4:$D$11,A19,'07.08'!$E$4:$E$11)+SUMIF('07.08'!$F$4:$F$11,A19,'07.08'!$G$4:$G$11)+SUMIF('07.08'!$H$4:$H$11,A19,'07.08'!$I$4:$I$11)+SUMIF('07.08'!$J$4:$J$11,A19,'07.08'!$K$4:$K$11)+SUMIF('07.08'!$L$4:$L$11,A19,'07.08'!$M$4:$M$11)+SUMIF('07.08'!$N$4:$N$11,A19,'07.08'!$O$4:$O$11)</f>
        <v>0</v>
      </c>
      <c r="O19" s="15">
        <f>SUMIF('08.08'!$B$4:$B$11,A19,'08.08'!$C$4:$C$11)+SUMIF('08.08'!$D$4:$D$11,A19,'08.08'!$E$4:$E$11)+SUMIF('08.08'!$F$4:$F$11,A19,'08.08'!$G$4:$G$11)+SUMIF('08.08'!$H$4:$H$11,A19,'08.08'!$I$4:$I$11)+SUMIF('08.08'!$J$4:$J$11,A19,'08.08'!$K$4:$K$11)+SUMIF('08.08'!$L$4:$L$11,A19,'08.08'!$M$4:$M$11)+SUMIF('08.08'!$N$4:$N$11,A19,'08.08'!$O$4:$O$11)</f>
        <v>0</v>
      </c>
      <c r="P19" s="15">
        <f>SUMIF('09.08'!$B$4:$B$11,A19,'09.08'!$C$4:$C$11)+SUMIF('09.08'!$D$4:$D$11,A19,'09.08'!$E$4:$E$11)+SUMIF('09.08'!$F$4:$F$11,A19,'09.08'!$G$4:$G$11)+SUMIF('09.08'!$H$4:$H$11,A19,'09.08'!$I$4:$I$11)+SUMIF('09.08'!$J$4:$J$11,A19,'09.08'!$K$4:$K$11)+SUMIF('09.08'!$L$4:$L$11,A19,'09.08'!$M$4:$M$11)+SUMIF('09.08'!$N$4:$N$11,A19,'09.08'!$O$4:$O$11)</f>
        <v>0</v>
      </c>
      <c r="Q19" s="15">
        <f>SUMIF('10.08'!$B$4:$B$11,A19,'10.08'!$C$4:$C$11)+SUMIF('10.08'!$D$4:$D$11,A19,'10.08'!$E$4:$E$11)+SUMIF('10.08'!$F$4:$F$11,A19,'10.08'!$G$4:$G$11)+SUMIF('10.08'!$H$4:$H$11,A19,'10.08'!$I$4:$I$11)+SUMIF('10.08'!$J$4:$J$11,A19,'10.08'!$K$4:$K$11)+SUMIF('10.08'!$L$4:$L$11,A19,'10.08'!$M$4:$M$11)+SUMIF('10.08'!$N$4:$N$11,A19,'10.08'!$O$4:$O$11)</f>
        <v>0</v>
      </c>
      <c r="R19" s="16" t="str">
        <f t="shared" si="4"/>
        <v>#N/A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0" t="str">
        <f>'список продуктов'!A25</f>
        <v>Лапша (для лагмана) / Сухая яичная лапша</v>
      </c>
      <c r="B20" s="10" t="str">
        <f>'список продуктов'!B25</f>
        <v>пачка</v>
      </c>
      <c r="C20" s="10" t="str">
        <f>'список продуктов'!C25</f>
        <v/>
      </c>
      <c r="D20" s="10" t="str">
        <f>'список продуктов'!D25</f>
        <v/>
      </c>
      <c r="E20" s="10" t="str">
        <f>'список продуктов'!E25</f>
        <v>Долгосрочный</v>
      </c>
      <c r="F20" s="21" t="str">
        <f t="shared" si="5"/>
        <v>#N/A</v>
      </c>
      <c r="G20" s="22">
        <v>3.0</v>
      </c>
      <c r="H20" s="19">
        <f t="shared" si="3"/>
        <v>0</v>
      </c>
      <c r="I20" s="14">
        <f>SUMIF('02.08'!$B$4:$B$11,A20,'02.08'!$C$4:$C$11)+SUMIF('02.08'!$D$4:$D$11,A20,'02.08'!$E$4:$E$11)+SUMIF('02.08'!$F$4:$F$11,A20,'02.08'!$G$4:$G$11)+SUMIF('02.08'!$H$4:$H$11,A20,'02.08'!$I$4:$I$11)+SUMIF('02.08'!$J$4:$J$11,A20,'02.08'!$K$4:$K$11)+SUMIF('02.08'!$L$4:$L$11,A20,'02.08'!$M$4:$M$11)+SUMIF('02.08'!$N$4:$N$11,A20,'02.08'!$O$4:$O$11)</f>
        <v>0</v>
      </c>
      <c r="J20" s="15">
        <f>SUMIF('03.08'!$B$4:$B$11,A20,'03.08'!$C$4:$C$11)+SUMIF('03.08'!$D$4:$D$11,A20,'03.08'!$E$4:$E$11)+SUMIF('03.08'!$F$4:$F$11,A20,'03.08'!$G$4:$G$11)+SUMIF('03.08'!$H$4:$H$11,A20,'03.08'!$I$4:$I$11)+SUMIF('03.08'!$J$4:$J$11,A20,'03.08'!$K$4:$K$11)+SUMIF('03.08'!$L$4:$L$11,A20,'03.08'!$M$4:$M$11)+SUMIF('03.08'!$N$4:$N$11,A20,'03.08'!$O$4:$O$11)</f>
        <v>0</v>
      </c>
      <c r="K20" s="15">
        <f>SUMIF('04.08'!$B$4:$B$11,A20,'04.08'!$C$4:$C$11)+SUMIF('04.08'!$D$4:$D$11,A20,'04.08'!$E$4:$E$11)+SUMIF('04.08'!$F$4:$F$11,A20,'04.08'!$G$4:$G$11)+SUMIF('04.08'!$H$4:$H$11,A20,'04.08'!$I$4:$I$11)+SUMIF('04.08'!$J$4:$J$11,A20,'04.08'!$K$4:$K$11)+SUMIF('04.08'!$L$4:$L$11,A20,'04.08'!$M$4:$M$11)+SUMIF('04.08'!$N$4:$N$11,A20,'04.08'!$O$4:$O$11)</f>
        <v>0</v>
      </c>
      <c r="L20" s="15">
        <f>SUMIF('05.08'!$B$4:$B$11,A20,'05.08'!$C$4:$C$11)+SUMIF('05.08'!$D$4:$D$11,A20,'05.08'!$E$4:$E$11)+SUMIF('05.08'!$F$4:$F$11,A20,'05.08'!$G$4:$G$11)+SUMIF('05.08'!$H$4:$H$11,A20,'05.08'!$I$4:$I$11)+SUMIF('05.08'!$J$4:$J$11,A20,'05.08'!$K$4:$K$11)+SUMIF('05.08'!$L$4:$L$11,A20,'05.08'!$M$4:$M$11)+SUMIF('05.08'!$N$4:$N$11,A20,'05.08'!$O$4:$O$11)</f>
        <v>0</v>
      </c>
      <c r="M20" s="15">
        <f>SUMIF('06.08'!$B$4:$B$11,A20,'06.08'!$C$4:$C$11)+SUMIF('06.08'!$D$4:$D$11,A20,'06.08'!$E$4:$E$11)+SUMIF('06.08'!$F$4:$F$11,A20,'06.08'!$G$4:$G$11)+SUMIF('06.08'!$H$4:$H$11,A20,'06.08'!$I$4:$I$11)+SUMIF('06.08'!$J$4:$J$11,A20,'06.08'!$K$4:$K$11)+SUMIF('06.08'!$L$4:$L$11,A20,'06.08'!$M$4:$M$11)+SUMIF('06.08'!$N$4:$N$11,A20,'06.08'!$O$4:$O$11)</f>
        <v>0</v>
      </c>
      <c r="N20" s="15">
        <f>SUMIF('07.08'!$B$4:$B$11,A20,'07.08'!$C$4:$C$11)+SUMIF('07.08'!$D$4:$D$11,A20,'07.08'!$E$4:$E$11)+SUMIF('07.08'!$F$4:$F$11,A20,'07.08'!$G$4:$G$11)+SUMIF('07.08'!$H$4:$H$11,A20,'07.08'!$I$4:$I$11)+SUMIF('07.08'!$J$4:$J$11,A20,'07.08'!$K$4:$K$11)+SUMIF('07.08'!$L$4:$L$11,A20,'07.08'!$M$4:$M$11)+SUMIF('07.08'!$N$4:$N$11,A20,'07.08'!$O$4:$O$11)</f>
        <v>0</v>
      </c>
      <c r="O20" s="15">
        <f>SUMIF('08.08'!$B$4:$B$11,A20,'08.08'!$C$4:$C$11)+SUMIF('08.08'!$D$4:$D$11,A20,'08.08'!$E$4:$E$11)+SUMIF('08.08'!$F$4:$F$11,A20,'08.08'!$G$4:$G$11)+SUMIF('08.08'!$H$4:$H$11,A20,'08.08'!$I$4:$I$11)+SUMIF('08.08'!$J$4:$J$11,A20,'08.08'!$K$4:$K$11)+SUMIF('08.08'!$L$4:$L$11,A20,'08.08'!$M$4:$M$11)+SUMIF('08.08'!$N$4:$N$11,A20,'08.08'!$O$4:$O$11)</f>
        <v>0</v>
      </c>
      <c r="P20" s="15">
        <f>SUMIF('09.08'!$B$4:$B$11,A20,'09.08'!$C$4:$C$11)+SUMIF('09.08'!$D$4:$D$11,A20,'09.08'!$E$4:$E$11)+SUMIF('09.08'!$F$4:$F$11,A20,'09.08'!$G$4:$G$11)+SUMIF('09.08'!$H$4:$H$11,A20,'09.08'!$I$4:$I$11)+SUMIF('09.08'!$J$4:$J$11,A20,'09.08'!$K$4:$K$11)+SUMIF('09.08'!$L$4:$L$11,A20,'09.08'!$M$4:$M$11)+SUMIF('09.08'!$N$4:$N$11,A20,'09.08'!$O$4:$O$11)</f>
        <v>0</v>
      </c>
      <c r="Q20" s="15">
        <f>SUMIF('10.08'!$B$4:$B$11,A20,'10.08'!$C$4:$C$11)+SUMIF('10.08'!$D$4:$D$11,A20,'10.08'!$E$4:$E$11)+SUMIF('10.08'!$F$4:$F$11,A20,'10.08'!$G$4:$G$11)+SUMIF('10.08'!$H$4:$H$11,A20,'10.08'!$I$4:$I$11)+SUMIF('10.08'!$J$4:$J$11,A20,'10.08'!$K$4:$K$11)+SUMIF('10.08'!$L$4:$L$11,A20,'10.08'!$M$4:$M$11)+SUMIF('10.08'!$N$4:$N$11,A20,'10.08'!$O$4:$O$11)</f>
        <v>0</v>
      </c>
      <c r="R20" s="16" t="str">
        <f t="shared" si="4"/>
        <v>#N/A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>
      <c r="A21" s="10" t="str">
        <f>'список продуктов'!A26</f>
        <v>Лук</v>
      </c>
      <c r="B21" s="10" t="str">
        <f>'список продуктов'!B26</f>
        <v>кг</v>
      </c>
      <c r="C21" s="10">
        <f>'список продуктов'!C26</f>
        <v>1000</v>
      </c>
      <c r="D21" s="10" t="str">
        <f>'список продуктов'!D26</f>
        <v/>
      </c>
      <c r="E21" s="10" t="str">
        <f>'список продуктов'!E26</f>
        <v>Краткосрочный</v>
      </c>
      <c r="F21" s="17" t="str">
        <f t="shared" si="5"/>
        <v>#N/A</v>
      </c>
      <c r="G21" s="18" t="str">
        <f t="shared" ref="G21:G58" si="6">IFERROR(CEILING(F21/C21,1),"Введите занчения")</f>
        <v>Введите занчения</v>
      </c>
      <c r="H21" s="19" t="str">
        <f t="shared" si="3"/>
        <v>Введите занчения</v>
      </c>
      <c r="I21" s="14">
        <f>SUMIF('02.08'!$B$4:$B$11,A21,'02.08'!$C$4:$C$11)+SUMIF('02.08'!$D$4:$D$11,A21,'02.08'!$E$4:$E$11)+SUMIF('02.08'!$F$4:$F$11,A21,'02.08'!$G$4:$G$11)+SUMIF('02.08'!$H$4:$H$11,A21,'02.08'!$I$4:$I$11)+SUMIF('02.08'!$J$4:$J$11,A21,'02.08'!$K$4:$K$11)+SUMIF('02.08'!$L$4:$L$11,A21,'02.08'!$M$4:$M$11)+SUMIF('02.08'!$N$4:$N$11,A21,'02.08'!$O$4:$O$11)</f>
        <v>0</v>
      </c>
      <c r="J21" s="15">
        <f>SUMIF('03.08'!$B$4:$B$11,A21,'03.08'!$C$4:$C$11)+SUMIF('03.08'!$D$4:$D$11,A21,'03.08'!$E$4:$E$11)+SUMIF('03.08'!$F$4:$F$11,A21,'03.08'!$G$4:$G$11)+SUMIF('03.08'!$H$4:$H$11,A21,'03.08'!$I$4:$I$11)+SUMIF('03.08'!$J$4:$J$11,A21,'03.08'!$K$4:$K$11)+SUMIF('03.08'!$L$4:$L$11,A21,'03.08'!$M$4:$M$11)+SUMIF('03.08'!$N$4:$N$11,A21,'03.08'!$O$4:$O$11)</f>
        <v>0</v>
      </c>
      <c r="K21" s="15">
        <f>SUMIF('04.08'!$B$4:$B$11,A21,'04.08'!$C$4:$C$11)+SUMIF('04.08'!$D$4:$D$11,A21,'04.08'!$E$4:$E$11)+SUMIF('04.08'!$F$4:$F$11,A21,'04.08'!$G$4:$G$11)+SUMIF('04.08'!$H$4:$H$11,A21,'04.08'!$I$4:$I$11)+SUMIF('04.08'!$J$4:$J$11,A21,'04.08'!$K$4:$K$11)+SUMIF('04.08'!$L$4:$L$11,A21,'04.08'!$M$4:$M$11)+SUMIF('04.08'!$N$4:$N$11,A21,'04.08'!$O$4:$O$11)</f>
        <v>0</v>
      </c>
      <c r="L21" s="15">
        <f>SUMIF('05.08'!$B$4:$B$11,A21,'05.08'!$C$4:$C$11)+SUMIF('05.08'!$D$4:$D$11,A21,'05.08'!$E$4:$E$11)+SUMIF('05.08'!$F$4:$F$11,A21,'05.08'!$G$4:$G$11)+SUMIF('05.08'!$H$4:$H$11,A21,'05.08'!$I$4:$I$11)+SUMIF('05.08'!$J$4:$J$11,A21,'05.08'!$K$4:$K$11)+SUMIF('05.08'!$L$4:$L$11,A21,'05.08'!$M$4:$M$11)+SUMIF('05.08'!$N$4:$N$11,A21,'05.08'!$O$4:$O$11)</f>
        <v>0</v>
      </c>
      <c r="M21" s="15">
        <f>SUMIF('06.08'!$B$4:$B$11,A21,'06.08'!$C$4:$C$11)+SUMIF('06.08'!$D$4:$D$11,A21,'06.08'!$E$4:$E$11)+SUMIF('06.08'!$F$4:$F$11,A21,'06.08'!$G$4:$G$11)+SUMIF('06.08'!$H$4:$H$11,A21,'06.08'!$I$4:$I$11)+SUMIF('06.08'!$J$4:$J$11,A21,'06.08'!$K$4:$K$11)+SUMIF('06.08'!$L$4:$L$11,A21,'06.08'!$M$4:$M$11)+SUMIF('06.08'!$N$4:$N$11,A21,'06.08'!$O$4:$O$11)</f>
        <v>0</v>
      </c>
      <c r="N21" s="15">
        <f>SUMIF('07.08'!$B$4:$B$11,A21,'07.08'!$C$4:$C$11)+SUMIF('07.08'!$D$4:$D$11,A21,'07.08'!$E$4:$E$11)+SUMIF('07.08'!$F$4:$F$11,A21,'07.08'!$G$4:$G$11)+SUMIF('07.08'!$H$4:$H$11,A21,'07.08'!$I$4:$I$11)+SUMIF('07.08'!$J$4:$J$11,A21,'07.08'!$K$4:$K$11)+SUMIF('07.08'!$L$4:$L$11,A21,'07.08'!$M$4:$M$11)+SUMIF('07.08'!$N$4:$N$11,A21,'07.08'!$O$4:$O$11)</f>
        <v>0</v>
      </c>
      <c r="O21" s="15">
        <f>SUMIF('08.08'!$B$4:$B$11,A21,'08.08'!$C$4:$C$11)+SUMIF('08.08'!$D$4:$D$11,A21,'08.08'!$E$4:$E$11)+SUMIF('08.08'!$F$4:$F$11,A21,'08.08'!$G$4:$G$11)+SUMIF('08.08'!$H$4:$H$11,A21,'08.08'!$I$4:$I$11)+SUMIF('08.08'!$J$4:$J$11,A21,'08.08'!$K$4:$K$11)+SUMIF('08.08'!$L$4:$L$11,A21,'08.08'!$M$4:$M$11)+SUMIF('08.08'!$N$4:$N$11,A21,'08.08'!$O$4:$O$11)</f>
        <v>0</v>
      </c>
      <c r="P21" s="15">
        <f>SUMIF('09.08'!$B$4:$B$11,A21,'09.08'!$C$4:$C$11)+SUMIF('09.08'!$D$4:$D$11,A21,'09.08'!$E$4:$E$11)+SUMIF('09.08'!$F$4:$F$11,A21,'09.08'!$G$4:$G$11)+SUMIF('09.08'!$H$4:$H$11,A21,'09.08'!$I$4:$I$11)+SUMIF('09.08'!$J$4:$J$11,A21,'09.08'!$K$4:$K$11)+SUMIF('09.08'!$L$4:$L$11,A21,'09.08'!$M$4:$M$11)+SUMIF('09.08'!$N$4:$N$11,A21,'09.08'!$O$4:$O$11)</f>
        <v>0</v>
      </c>
      <c r="Q21" s="15">
        <f>SUMIF('10.08'!$B$4:$B$11,A21,'10.08'!$C$4:$C$11)+SUMIF('10.08'!$D$4:$D$11,A21,'10.08'!$E$4:$E$11)+SUMIF('10.08'!$F$4:$F$11,A21,'10.08'!$G$4:$G$11)+SUMIF('10.08'!$H$4:$H$11,A21,'10.08'!$I$4:$I$11)+SUMIF('10.08'!$J$4:$J$11,A21,'10.08'!$K$4:$K$11)+SUMIF('10.08'!$L$4:$L$11,A21,'10.08'!$M$4:$M$11)+SUMIF('10.08'!$N$4:$N$11,A21,'10.08'!$O$4:$O$11)</f>
        <v>0</v>
      </c>
      <c r="R21" s="16" t="str">
        <f t="shared" si="4"/>
        <v>#N/A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0" t="str">
        <f>'список продуктов'!A27</f>
        <v>Макароны</v>
      </c>
      <c r="B22" s="10" t="str">
        <f>'список продуктов'!B27</f>
        <v>пачка</v>
      </c>
      <c r="C22" s="10">
        <f>'список продуктов'!C27</f>
        <v>500</v>
      </c>
      <c r="D22" s="10" t="str">
        <f>'список продуктов'!D27</f>
        <v/>
      </c>
      <c r="E22" s="10" t="str">
        <f>'список продуктов'!E27</f>
        <v>Долгосрочный</v>
      </c>
      <c r="F22" s="17" t="str">
        <f t="shared" si="5"/>
        <v>#N/A</v>
      </c>
      <c r="G22" s="18" t="str">
        <f t="shared" si="6"/>
        <v>Введите занчения</v>
      </c>
      <c r="H22" s="19" t="str">
        <f t="shared" si="3"/>
        <v>Введите занчения</v>
      </c>
      <c r="I22" s="14">
        <f>SUMIF('02.08'!$B$4:$B$11,A22,'02.08'!$C$4:$C$11)+SUMIF('02.08'!$D$4:$D$11,A22,'02.08'!$E$4:$E$11)+SUMIF('02.08'!$F$4:$F$11,A22,'02.08'!$G$4:$G$11)+SUMIF('02.08'!$H$4:$H$11,A22,'02.08'!$I$4:$I$11)+SUMIF('02.08'!$J$4:$J$11,A22,'02.08'!$K$4:$K$11)+SUMIF('02.08'!$L$4:$L$11,A22,'02.08'!$M$4:$M$11)+SUMIF('02.08'!$N$4:$N$11,A22,'02.08'!$O$4:$O$11)</f>
        <v>0</v>
      </c>
      <c r="J22" s="15">
        <f>SUMIF('03.08'!$B$4:$B$11,A22,'03.08'!$C$4:$C$11)+SUMIF('03.08'!$D$4:$D$11,A22,'03.08'!$E$4:$E$11)+SUMIF('03.08'!$F$4:$F$11,A22,'03.08'!$G$4:$G$11)+SUMIF('03.08'!$H$4:$H$11,A22,'03.08'!$I$4:$I$11)+SUMIF('03.08'!$J$4:$J$11,A22,'03.08'!$K$4:$K$11)+SUMIF('03.08'!$L$4:$L$11,A22,'03.08'!$M$4:$M$11)+SUMIF('03.08'!$N$4:$N$11,A22,'03.08'!$O$4:$O$11)</f>
        <v>0</v>
      </c>
      <c r="K22" s="15">
        <f>SUMIF('04.08'!$B$4:$B$11,A22,'04.08'!$C$4:$C$11)+SUMIF('04.08'!$D$4:$D$11,A22,'04.08'!$E$4:$E$11)+SUMIF('04.08'!$F$4:$F$11,A22,'04.08'!$G$4:$G$11)+SUMIF('04.08'!$H$4:$H$11,A22,'04.08'!$I$4:$I$11)+SUMIF('04.08'!$J$4:$J$11,A22,'04.08'!$K$4:$K$11)+SUMIF('04.08'!$L$4:$L$11,A22,'04.08'!$M$4:$M$11)+SUMIF('04.08'!$N$4:$N$11,A22,'04.08'!$O$4:$O$11)</f>
        <v>0</v>
      </c>
      <c r="L22" s="15">
        <f>SUMIF('05.08'!$B$4:$B$11,A22,'05.08'!$C$4:$C$11)+SUMIF('05.08'!$D$4:$D$11,A22,'05.08'!$E$4:$E$11)+SUMIF('05.08'!$F$4:$F$11,A22,'05.08'!$G$4:$G$11)+SUMIF('05.08'!$H$4:$H$11,A22,'05.08'!$I$4:$I$11)+SUMIF('05.08'!$J$4:$J$11,A22,'05.08'!$K$4:$K$11)+SUMIF('05.08'!$L$4:$L$11,A22,'05.08'!$M$4:$M$11)+SUMIF('05.08'!$N$4:$N$11,A22,'05.08'!$O$4:$O$11)</f>
        <v>0</v>
      </c>
      <c r="M22" s="15">
        <f>SUMIF('06.08'!$B$4:$B$11,A22,'06.08'!$C$4:$C$11)+SUMIF('06.08'!$D$4:$D$11,A22,'06.08'!$E$4:$E$11)+SUMIF('06.08'!$F$4:$F$11,A22,'06.08'!$G$4:$G$11)+SUMIF('06.08'!$H$4:$H$11,A22,'06.08'!$I$4:$I$11)+SUMIF('06.08'!$J$4:$J$11,A22,'06.08'!$K$4:$K$11)+SUMIF('06.08'!$L$4:$L$11,A22,'06.08'!$M$4:$M$11)+SUMIF('06.08'!$N$4:$N$11,A22,'06.08'!$O$4:$O$11)</f>
        <v>0</v>
      </c>
      <c r="N22" s="15">
        <f>SUMIF('07.08'!$B$4:$B$11,A22,'07.08'!$C$4:$C$11)+SUMIF('07.08'!$D$4:$D$11,A22,'07.08'!$E$4:$E$11)+SUMIF('07.08'!$F$4:$F$11,A22,'07.08'!$G$4:$G$11)+SUMIF('07.08'!$H$4:$H$11,A22,'07.08'!$I$4:$I$11)+SUMIF('07.08'!$J$4:$J$11,A22,'07.08'!$K$4:$K$11)+SUMIF('07.08'!$L$4:$L$11,A22,'07.08'!$M$4:$M$11)+SUMIF('07.08'!$N$4:$N$11,A22,'07.08'!$O$4:$O$11)</f>
        <v>0</v>
      </c>
      <c r="O22" s="15">
        <f>SUMIF('08.08'!$B$4:$B$11,A22,'08.08'!$C$4:$C$11)+SUMIF('08.08'!$D$4:$D$11,A22,'08.08'!$E$4:$E$11)+SUMIF('08.08'!$F$4:$F$11,A22,'08.08'!$G$4:$G$11)+SUMIF('08.08'!$H$4:$H$11,A22,'08.08'!$I$4:$I$11)+SUMIF('08.08'!$J$4:$J$11,A22,'08.08'!$K$4:$K$11)+SUMIF('08.08'!$L$4:$L$11,A22,'08.08'!$M$4:$M$11)+SUMIF('08.08'!$N$4:$N$11,A22,'08.08'!$O$4:$O$11)</f>
        <v>0</v>
      </c>
      <c r="P22" s="15">
        <f>SUMIF('09.08'!$B$4:$B$11,A22,'09.08'!$C$4:$C$11)+SUMIF('09.08'!$D$4:$D$11,A22,'09.08'!$E$4:$E$11)+SUMIF('09.08'!$F$4:$F$11,A22,'09.08'!$G$4:$G$11)+SUMIF('09.08'!$H$4:$H$11,A22,'09.08'!$I$4:$I$11)+SUMIF('09.08'!$J$4:$J$11,A22,'09.08'!$K$4:$K$11)+SUMIF('09.08'!$L$4:$L$11,A22,'09.08'!$M$4:$M$11)+SUMIF('09.08'!$N$4:$N$11,A22,'09.08'!$O$4:$O$11)</f>
        <v>0</v>
      </c>
      <c r="Q22" s="15">
        <f>SUMIF('10.08'!$B$4:$B$11,A22,'10.08'!$C$4:$C$11)+SUMIF('10.08'!$D$4:$D$11,A22,'10.08'!$E$4:$E$11)+SUMIF('10.08'!$F$4:$F$11,A22,'10.08'!$G$4:$G$11)+SUMIF('10.08'!$H$4:$H$11,A22,'10.08'!$I$4:$I$11)+SUMIF('10.08'!$J$4:$J$11,A22,'10.08'!$K$4:$K$11)+SUMIF('10.08'!$L$4:$L$11,A22,'10.08'!$M$4:$M$11)+SUMIF('10.08'!$N$4:$N$11,A22,'10.08'!$O$4:$O$11)</f>
        <v>0</v>
      </c>
      <c r="R22" s="16" t="str">
        <f t="shared" si="4"/>
        <v>#N/A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0" t="str">
        <f>'список продуктов'!A28</f>
        <v>Маринованные огурцы</v>
      </c>
      <c r="B23" s="10" t="str">
        <f>'список продуктов'!B28</f>
        <v/>
      </c>
      <c r="C23" s="10" t="str">
        <f>'список продуктов'!C28</f>
        <v>450 нетто</v>
      </c>
      <c r="D23" s="10" t="str">
        <f>'список продуктов'!D28</f>
        <v/>
      </c>
      <c r="E23" s="10" t="str">
        <f>'список продуктов'!E28</f>
        <v>Краткосрочный</v>
      </c>
      <c r="F23" s="21" t="str">
        <f t="shared" si="5"/>
        <v>#N/A</v>
      </c>
      <c r="G23" s="22" t="str">
        <f t="shared" si="6"/>
        <v>Введите занчения</v>
      </c>
      <c r="H23" s="19" t="str">
        <f t="shared" si="3"/>
        <v>Введите занчения</v>
      </c>
      <c r="I23" s="14">
        <f>SUMIF('02.08'!$B$4:$B$11,A23,'02.08'!$C$4:$C$11)+SUMIF('02.08'!$D$4:$D$11,A23,'02.08'!$E$4:$E$11)+SUMIF('02.08'!$F$4:$F$11,A23,'02.08'!$G$4:$G$11)+SUMIF('02.08'!$H$4:$H$11,A23,'02.08'!$I$4:$I$11)+SUMIF('02.08'!$J$4:$J$11,A23,'02.08'!$K$4:$K$11)+SUMIF('02.08'!$L$4:$L$11,A23,'02.08'!$M$4:$M$11)+SUMIF('02.08'!$N$4:$N$11,A23,'02.08'!$O$4:$O$11)</f>
        <v>0</v>
      </c>
      <c r="J23" s="15">
        <f>SUMIF('03.08'!$B$4:$B$11,A23,'03.08'!$C$4:$C$11)+SUMIF('03.08'!$D$4:$D$11,A23,'03.08'!$E$4:$E$11)+SUMIF('03.08'!$F$4:$F$11,A23,'03.08'!$G$4:$G$11)+SUMIF('03.08'!$H$4:$H$11,A23,'03.08'!$I$4:$I$11)+SUMIF('03.08'!$J$4:$J$11,A23,'03.08'!$K$4:$K$11)+SUMIF('03.08'!$L$4:$L$11,A23,'03.08'!$M$4:$M$11)+SUMIF('03.08'!$N$4:$N$11,A23,'03.08'!$O$4:$O$11)</f>
        <v>0</v>
      </c>
      <c r="K23" s="15">
        <f>SUMIF('04.08'!$B$4:$B$11,A23,'04.08'!$C$4:$C$11)+SUMIF('04.08'!$D$4:$D$11,A23,'04.08'!$E$4:$E$11)+SUMIF('04.08'!$F$4:$F$11,A23,'04.08'!$G$4:$G$11)+SUMIF('04.08'!$H$4:$H$11,A23,'04.08'!$I$4:$I$11)+SUMIF('04.08'!$J$4:$J$11,A23,'04.08'!$K$4:$K$11)+SUMIF('04.08'!$L$4:$L$11,A23,'04.08'!$M$4:$M$11)+SUMIF('04.08'!$N$4:$N$11,A23,'04.08'!$O$4:$O$11)</f>
        <v>0</v>
      </c>
      <c r="L23" s="15">
        <f>SUMIF('05.08'!$B$4:$B$11,A23,'05.08'!$C$4:$C$11)+SUMIF('05.08'!$D$4:$D$11,A23,'05.08'!$E$4:$E$11)+SUMIF('05.08'!$F$4:$F$11,A23,'05.08'!$G$4:$G$11)+SUMIF('05.08'!$H$4:$H$11,A23,'05.08'!$I$4:$I$11)+SUMIF('05.08'!$J$4:$J$11,A23,'05.08'!$K$4:$K$11)+SUMIF('05.08'!$L$4:$L$11,A23,'05.08'!$M$4:$M$11)+SUMIF('05.08'!$N$4:$N$11,A23,'05.08'!$O$4:$O$11)</f>
        <v>0</v>
      </c>
      <c r="M23" s="15">
        <f>SUMIF('06.08'!$B$4:$B$11,A23,'06.08'!$C$4:$C$11)+SUMIF('06.08'!$D$4:$D$11,A23,'06.08'!$E$4:$E$11)+SUMIF('06.08'!$F$4:$F$11,A23,'06.08'!$G$4:$G$11)+SUMIF('06.08'!$H$4:$H$11,A23,'06.08'!$I$4:$I$11)+SUMIF('06.08'!$J$4:$J$11,A23,'06.08'!$K$4:$K$11)+SUMIF('06.08'!$L$4:$L$11,A23,'06.08'!$M$4:$M$11)+SUMIF('06.08'!$N$4:$N$11,A23,'06.08'!$O$4:$O$11)</f>
        <v>0</v>
      </c>
      <c r="N23" s="15">
        <f>SUMIF('07.08'!$B$4:$B$11,A23,'07.08'!$C$4:$C$11)+SUMIF('07.08'!$D$4:$D$11,A23,'07.08'!$E$4:$E$11)+SUMIF('07.08'!$F$4:$F$11,A23,'07.08'!$G$4:$G$11)+SUMIF('07.08'!$H$4:$H$11,A23,'07.08'!$I$4:$I$11)+SUMIF('07.08'!$J$4:$J$11,A23,'07.08'!$K$4:$K$11)+SUMIF('07.08'!$L$4:$L$11,A23,'07.08'!$M$4:$M$11)+SUMIF('07.08'!$N$4:$N$11,A23,'07.08'!$O$4:$O$11)</f>
        <v>0</v>
      </c>
      <c r="O23" s="15">
        <f>SUMIF('08.08'!$B$4:$B$11,A23,'08.08'!$C$4:$C$11)+SUMIF('08.08'!$D$4:$D$11,A23,'08.08'!$E$4:$E$11)+SUMIF('08.08'!$F$4:$F$11,A23,'08.08'!$G$4:$G$11)+SUMIF('08.08'!$H$4:$H$11,A23,'08.08'!$I$4:$I$11)+SUMIF('08.08'!$J$4:$J$11,A23,'08.08'!$K$4:$K$11)+SUMIF('08.08'!$L$4:$L$11,A23,'08.08'!$M$4:$M$11)+SUMIF('08.08'!$N$4:$N$11,A23,'08.08'!$O$4:$O$11)</f>
        <v>0</v>
      </c>
      <c r="P23" s="15">
        <f>SUMIF('09.08'!$B$4:$B$11,A23,'09.08'!$C$4:$C$11)+SUMIF('09.08'!$D$4:$D$11,A23,'09.08'!$E$4:$E$11)+SUMIF('09.08'!$F$4:$F$11,A23,'09.08'!$G$4:$G$11)+SUMIF('09.08'!$H$4:$H$11,A23,'09.08'!$I$4:$I$11)+SUMIF('09.08'!$J$4:$J$11,A23,'09.08'!$K$4:$K$11)+SUMIF('09.08'!$L$4:$L$11,A23,'09.08'!$M$4:$M$11)+SUMIF('09.08'!$N$4:$N$11,A23,'09.08'!$O$4:$O$11)</f>
        <v>0</v>
      </c>
      <c r="Q23" s="15">
        <f>SUMIF('10.08'!$B$4:$B$11,A23,'10.08'!$C$4:$C$11)+SUMIF('10.08'!$D$4:$D$11,A23,'10.08'!$E$4:$E$11)+SUMIF('10.08'!$F$4:$F$11,A23,'10.08'!$G$4:$G$11)+SUMIF('10.08'!$H$4:$H$11,A23,'10.08'!$I$4:$I$11)+SUMIF('10.08'!$J$4:$J$11,A23,'10.08'!$K$4:$K$11)+SUMIF('10.08'!$L$4:$L$11,A23,'10.08'!$M$4:$M$11)+SUMIF('10.08'!$N$4:$N$11,A23,'10.08'!$O$4:$O$11)</f>
        <v>0</v>
      </c>
      <c r="R23" s="16" t="str">
        <f t="shared" si="4"/>
        <v>#N/A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  <row r="24">
      <c r="A24" s="10" t="str">
        <f>'список продуктов'!A30</f>
        <v>Мини томатная паста (для уч)</v>
      </c>
      <c r="B24" s="10" t="str">
        <f>'список продуктов'!B30</f>
        <v>банка</v>
      </c>
      <c r="C24" s="10">
        <f>'список продуктов'!C30</f>
        <v>70</v>
      </c>
      <c r="D24" s="10" t="str">
        <f>'список продуктов'!D30</f>
        <v/>
      </c>
      <c r="E24" s="10" t="str">
        <f>'список продуктов'!E30</f>
        <v>Долгосрочный</v>
      </c>
      <c r="F24" s="21" t="str">
        <f t="shared" si="5"/>
        <v>#N/A</v>
      </c>
      <c r="G24" s="22" t="str">
        <f t="shared" si="6"/>
        <v>Введите занчения</v>
      </c>
      <c r="H24" s="19" t="str">
        <f t="shared" si="3"/>
        <v>Введите занчения</v>
      </c>
      <c r="I24" s="14">
        <f>SUMIF('02.08'!$B$4:$B$11,A24,'02.08'!$C$4:$C$11)+SUMIF('02.08'!$D$4:$D$11,A24,'02.08'!$E$4:$E$11)+SUMIF('02.08'!$F$4:$F$11,A24,'02.08'!$G$4:$G$11)+SUMIF('02.08'!$H$4:$H$11,A24,'02.08'!$I$4:$I$11)+SUMIF('02.08'!$J$4:$J$11,A24,'02.08'!$K$4:$K$11)+SUMIF('02.08'!$L$4:$L$11,A24,'02.08'!$M$4:$M$11)+SUMIF('02.08'!$N$4:$N$11,A24,'02.08'!$O$4:$O$11)</f>
        <v>0</v>
      </c>
      <c r="J24" s="15">
        <f>SUMIF('03.08'!$B$4:$B$11,A24,'03.08'!$C$4:$C$11)+SUMIF('03.08'!$D$4:$D$11,A24,'03.08'!$E$4:$E$11)+SUMIF('03.08'!$F$4:$F$11,A24,'03.08'!$G$4:$G$11)+SUMIF('03.08'!$H$4:$H$11,A24,'03.08'!$I$4:$I$11)+SUMIF('03.08'!$J$4:$J$11,A24,'03.08'!$K$4:$K$11)+SUMIF('03.08'!$L$4:$L$11,A24,'03.08'!$M$4:$M$11)+SUMIF('03.08'!$N$4:$N$11,A24,'03.08'!$O$4:$O$11)</f>
        <v>0</v>
      </c>
      <c r="K24" s="15">
        <f>SUMIF('04.08'!$B$4:$B$11,A24,'04.08'!$C$4:$C$11)+SUMIF('04.08'!$D$4:$D$11,A24,'04.08'!$E$4:$E$11)+SUMIF('04.08'!$F$4:$F$11,A24,'04.08'!$G$4:$G$11)+SUMIF('04.08'!$H$4:$H$11,A24,'04.08'!$I$4:$I$11)+SUMIF('04.08'!$J$4:$J$11,A24,'04.08'!$K$4:$K$11)+SUMIF('04.08'!$L$4:$L$11,A24,'04.08'!$M$4:$M$11)+SUMIF('04.08'!$N$4:$N$11,A24,'04.08'!$O$4:$O$11)</f>
        <v>0</v>
      </c>
      <c r="L24" s="15">
        <f>SUMIF('05.08'!$B$4:$B$11,A24,'05.08'!$C$4:$C$11)+SUMIF('05.08'!$D$4:$D$11,A24,'05.08'!$E$4:$E$11)+SUMIF('05.08'!$F$4:$F$11,A24,'05.08'!$G$4:$G$11)+SUMIF('05.08'!$H$4:$H$11,A24,'05.08'!$I$4:$I$11)+SUMIF('05.08'!$J$4:$J$11,A24,'05.08'!$K$4:$K$11)+SUMIF('05.08'!$L$4:$L$11,A24,'05.08'!$M$4:$M$11)+SUMIF('05.08'!$N$4:$N$11,A24,'05.08'!$O$4:$O$11)</f>
        <v>0</v>
      </c>
      <c r="M24" s="15">
        <f>SUMIF('06.08'!$B$4:$B$11,A24,'06.08'!$C$4:$C$11)+SUMIF('06.08'!$D$4:$D$11,A24,'06.08'!$E$4:$E$11)+SUMIF('06.08'!$F$4:$F$11,A24,'06.08'!$G$4:$G$11)+SUMIF('06.08'!$H$4:$H$11,A24,'06.08'!$I$4:$I$11)+SUMIF('06.08'!$J$4:$J$11,A24,'06.08'!$K$4:$K$11)+SUMIF('06.08'!$L$4:$L$11,A24,'06.08'!$M$4:$M$11)+SUMIF('06.08'!$N$4:$N$11,A24,'06.08'!$O$4:$O$11)</f>
        <v>0</v>
      </c>
      <c r="N24" s="15">
        <f>SUMIF('07.08'!$B$4:$B$11,A24,'07.08'!$C$4:$C$11)+SUMIF('07.08'!$D$4:$D$11,A24,'07.08'!$E$4:$E$11)+SUMIF('07.08'!$F$4:$F$11,A24,'07.08'!$G$4:$G$11)+SUMIF('07.08'!$H$4:$H$11,A24,'07.08'!$I$4:$I$11)+SUMIF('07.08'!$J$4:$J$11,A24,'07.08'!$K$4:$K$11)+SUMIF('07.08'!$L$4:$L$11,A24,'07.08'!$M$4:$M$11)+SUMIF('07.08'!$N$4:$N$11,A24,'07.08'!$O$4:$O$11)</f>
        <v>0</v>
      </c>
      <c r="O24" s="15">
        <f>SUMIF('08.08'!$B$4:$B$11,A24,'08.08'!$C$4:$C$11)+SUMIF('08.08'!$D$4:$D$11,A24,'08.08'!$E$4:$E$11)+SUMIF('08.08'!$F$4:$F$11,A24,'08.08'!$G$4:$G$11)+SUMIF('08.08'!$H$4:$H$11,A24,'08.08'!$I$4:$I$11)+SUMIF('08.08'!$J$4:$J$11,A24,'08.08'!$K$4:$K$11)+SUMIF('08.08'!$L$4:$L$11,A24,'08.08'!$M$4:$M$11)+SUMIF('08.08'!$N$4:$N$11,A24,'08.08'!$O$4:$O$11)</f>
        <v>0</v>
      </c>
      <c r="P24" s="15">
        <f>SUMIF('09.08'!$B$4:$B$11,A24,'09.08'!$C$4:$C$11)+SUMIF('09.08'!$D$4:$D$11,A24,'09.08'!$E$4:$E$11)+SUMIF('09.08'!$F$4:$F$11,A24,'09.08'!$G$4:$G$11)+SUMIF('09.08'!$H$4:$H$11,A24,'09.08'!$I$4:$I$11)+SUMIF('09.08'!$J$4:$J$11,A24,'09.08'!$K$4:$K$11)+SUMIF('09.08'!$L$4:$L$11,A24,'09.08'!$M$4:$M$11)+SUMIF('09.08'!$N$4:$N$11,A24,'09.08'!$O$4:$O$11)</f>
        <v>0</v>
      </c>
      <c r="Q24" s="15">
        <f>SUMIF('10.08'!$B$4:$B$11,A24,'10.08'!$C$4:$C$11)+SUMIF('10.08'!$D$4:$D$11,A24,'10.08'!$E$4:$E$11)+SUMIF('10.08'!$F$4:$F$11,A24,'10.08'!$G$4:$G$11)+SUMIF('10.08'!$H$4:$H$11,A24,'10.08'!$I$4:$I$11)+SUMIF('10.08'!$J$4:$J$11,A24,'10.08'!$K$4:$K$11)+SUMIF('10.08'!$L$4:$L$11,A24,'10.08'!$M$4:$M$11)+SUMIF('10.08'!$N$4:$N$11,A24,'10.08'!$O$4:$O$11)</f>
        <v>0</v>
      </c>
      <c r="R24" s="16" t="str">
        <f t="shared" si="4"/>
        <v>#N/A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>
      <c r="A25" s="10" t="str">
        <f>'список продуктов'!A32</f>
        <v>Морковь</v>
      </c>
      <c r="B25" s="10" t="str">
        <f>'список продуктов'!B32</f>
        <v>кг</v>
      </c>
      <c r="C25" s="10">
        <f>'список продуктов'!C32</f>
        <v>1000</v>
      </c>
      <c r="D25" s="10" t="str">
        <f>'список продуктов'!D32</f>
        <v/>
      </c>
      <c r="E25" s="10" t="str">
        <f>'список продуктов'!E32</f>
        <v>Краткосрочный</v>
      </c>
      <c r="F25" s="21" t="str">
        <f t="shared" si="5"/>
        <v>#N/A</v>
      </c>
      <c r="G25" s="22" t="str">
        <f t="shared" si="6"/>
        <v>Введите занчения</v>
      </c>
      <c r="H25" s="19" t="str">
        <f t="shared" si="3"/>
        <v>Введите занчения</v>
      </c>
      <c r="I25" s="14">
        <f>SUMIF('02.08'!$B$4:$B$11,A25,'02.08'!$C$4:$C$11)+SUMIF('02.08'!$D$4:$D$11,A25,'02.08'!$E$4:$E$11)+SUMIF('02.08'!$F$4:$F$11,A25,'02.08'!$G$4:$G$11)+SUMIF('02.08'!$H$4:$H$11,A25,'02.08'!$I$4:$I$11)+SUMIF('02.08'!$J$4:$J$11,A25,'02.08'!$K$4:$K$11)+SUMIF('02.08'!$L$4:$L$11,A25,'02.08'!$M$4:$M$11)+SUMIF('02.08'!$N$4:$N$11,A25,'02.08'!$O$4:$O$11)</f>
        <v>0</v>
      </c>
      <c r="J25" s="15">
        <f>SUMIF('03.08'!$B$4:$B$11,A25,'03.08'!$C$4:$C$11)+SUMIF('03.08'!$D$4:$D$11,A25,'03.08'!$E$4:$E$11)+SUMIF('03.08'!$F$4:$F$11,A25,'03.08'!$G$4:$G$11)+SUMIF('03.08'!$H$4:$H$11,A25,'03.08'!$I$4:$I$11)+SUMIF('03.08'!$J$4:$J$11,A25,'03.08'!$K$4:$K$11)+SUMIF('03.08'!$L$4:$L$11,A25,'03.08'!$M$4:$M$11)+SUMIF('03.08'!$N$4:$N$11,A25,'03.08'!$O$4:$O$11)</f>
        <v>0</v>
      </c>
      <c r="K25" s="15">
        <f>SUMIF('04.08'!$B$4:$B$11,A25,'04.08'!$C$4:$C$11)+SUMIF('04.08'!$D$4:$D$11,A25,'04.08'!$E$4:$E$11)+SUMIF('04.08'!$F$4:$F$11,A25,'04.08'!$G$4:$G$11)+SUMIF('04.08'!$H$4:$H$11,A25,'04.08'!$I$4:$I$11)+SUMIF('04.08'!$J$4:$J$11,A25,'04.08'!$K$4:$K$11)+SUMIF('04.08'!$L$4:$L$11,A25,'04.08'!$M$4:$M$11)+SUMIF('04.08'!$N$4:$N$11,A25,'04.08'!$O$4:$O$11)</f>
        <v>0</v>
      </c>
      <c r="L25" s="15">
        <f>SUMIF('05.08'!$B$4:$B$11,A25,'05.08'!$C$4:$C$11)+SUMIF('05.08'!$D$4:$D$11,A25,'05.08'!$E$4:$E$11)+SUMIF('05.08'!$F$4:$F$11,A25,'05.08'!$G$4:$G$11)+SUMIF('05.08'!$H$4:$H$11,A25,'05.08'!$I$4:$I$11)+SUMIF('05.08'!$J$4:$J$11,A25,'05.08'!$K$4:$K$11)+SUMIF('05.08'!$L$4:$L$11,A25,'05.08'!$M$4:$M$11)+SUMIF('05.08'!$N$4:$N$11,A25,'05.08'!$O$4:$O$11)</f>
        <v>0</v>
      </c>
      <c r="M25" s="15">
        <f>SUMIF('06.08'!$B$4:$B$11,A25,'06.08'!$C$4:$C$11)+SUMIF('06.08'!$D$4:$D$11,A25,'06.08'!$E$4:$E$11)+SUMIF('06.08'!$F$4:$F$11,A25,'06.08'!$G$4:$G$11)+SUMIF('06.08'!$H$4:$H$11,A25,'06.08'!$I$4:$I$11)+SUMIF('06.08'!$J$4:$J$11,A25,'06.08'!$K$4:$K$11)+SUMIF('06.08'!$L$4:$L$11,A25,'06.08'!$M$4:$M$11)+SUMIF('06.08'!$N$4:$N$11,A25,'06.08'!$O$4:$O$11)</f>
        <v>0</v>
      </c>
      <c r="N25" s="15">
        <f>SUMIF('07.08'!$B$4:$B$11,A25,'07.08'!$C$4:$C$11)+SUMIF('07.08'!$D$4:$D$11,A25,'07.08'!$E$4:$E$11)+SUMIF('07.08'!$F$4:$F$11,A25,'07.08'!$G$4:$G$11)+SUMIF('07.08'!$H$4:$H$11,A25,'07.08'!$I$4:$I$11)+SUMIF('07.08'!$J$4:$J$11,A25,'07.08'!$K$4:$K$11)+SUMIF('07.08'!$L$4:$L$11,A25,'07.08'!$M$4:$M$11)+SUMIF('07.08'!$N$4:$N$11,A25,'07.08'!$O$4:$O$11)</f>
        <v>0</v>
      </c>
      <c r="O25" s="15">
        <f>SUMIF('08.08'!$B$4:$B$11,A25,'08.08'!$C$4:$C$11)+SUMIF('08.08'!$D$4:$D$11,A25,'08.08'!$E$4:$E$11)+SUMIF('08.08'!$F$4:$F$11,A25,'08.08'!$G$4:$G$11)+SUMIF('08.08'!$H$4:$H$11,A25,'08.08'!$I$4:$I$11)+SUMIF('08.08'!$J$4:$J$11,A25,'08.08'!$K$4:$K$11)+SUMIF('08.08'!$L$4:$L$11,A25,'08.08'!$M$4:$M$11)+SUMIF('08.08'!$N$4:$N$11,A25,'08.08'!$O$4:$O$11)</f>
        <v>0</v>
      </c>
      <c r="P25" s="15">
        <f>SUMIF('09.08'!$B$4:$B$11,A25,'09.08'!$C$4:$C$11)+SUMIF('09.08'!$D$4:$D$11,A25,'09.08'!$E$4:$E$11)+SUMIF('09.08'!$F$4:$F$11,A25,'09.08'!$G$4:$G$11)+SUMIF('09.08'!$H$4:$H$11,A25,'09.08'!$I$4:$I$11)+SUMIF('09.08'!$J$4:$J$11,A25,'09.08'!$K$4:$K$11)+SUMIF('09.08'!$L$4:$L$11,A25,'09.08'!$M$4:$M$11)+SUMIF('09.08'!$N$4:$N$11,A25,'09.08'!$O$4:$O$11)</f>
        <v>0</v>
      </c>
      <c r="Q25" s="15">
        <f>SUMIF('10.08'!$B$4:$B$11,A25,'10.08'!$C$4:$C$11)+SUMIF('10.08'!$D$4:$D$11,A25,'10.08'!$E$4:$E$11)+SUMIF('10.08'!$F$4:$F$11,A25,'10.08'!$G$4:$G$11)+SUMIF('10.08'!$H$4:$H$11,A25,'10.08'!$I$4:$I$11)+SUMIF('10.08'!$J$4:$J$11,A25,'10.08'!$K$4:$K$11)+SUMIF('10.08'!$L$4:$L$11,A25,'10.08'!$M$4:$M$11)+SUMIF('10.08'!$N$4:$N$11,A25,'10.08'!$O$4:$O$11)</f>
        <v>0</v>
      </c>
      <c r="R25" s="16" t="str">
        <f t="shared" si="4"/>
        <v>#N/A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>
      <c r="A26" s="10" t="str">
        <f>'список продуктов'!A33</f>
        <v>Мука </v>
      </c>
      <c r="B26" s="10" t="str">
        <f>'список продуктов'!B33</f>
        <v>кг</v>
      </c>
      <c r="C26" s="10" t="str">
        <f>'список продуктов'!C33</f>
        <v>500/1000</v>
      </c>
      <c r="D26" s="10" t="str">
        <f>'список продуктов'!D33</f>
        <v/>
      </c>
      <c r="E26" s="10" t="str">
        <f>'список продуктов'!E33</f>
        <v>Долгосрочный</v>
      </c>
      <c r="F26" s="21" t="str">
        <f t="shared" si="5"/>
        <v>#N/A</v>
      </c>
      <c r="G26" s="22" t="str">
        <f t="shared" si="6"/>
        <v>Введите занчения</v>
      </c>
      <c r="H26" s="19" t="str">
        <f t="shared" si="3"/>
        <v>Введите занчения</v>
      </c>
      <c r="I26" s="14">
        <f>SUMIF('02.08'!$B$4:$B$11,A26,'02.08'!$C$4:$C$11)+SUMIF('02.08'!$D$4:$D$11,A26,'02.08'!$E$4:$E$11)+SUMIF('02.08'!$F$4:$F$11,A26,'02.08'!$G$4:$G$11)+SUMIF('02.08'!$H$4:$H$11,A26,'02.08'!$I$4:$I$11)+SUMIF('02.08'!$J$4:$J$11,A26,'02.08'!$K$4:$K$11)+SUMIF('02.08'!$L$4:$L$11,A26,'02.08'!$M$4:$M$11)+SUMIF('02.08'!$N$4:$N$11,A26,'02.08'!$O$4:$O$11)</f>
        <v>0</v>
      </c>
      <c r="J26" s="15">
        <f>SUMIF('03.08'!$B$4:$B$11,A26,'03.08'!$C$4:$C$11)+SUMIF('03.08'!$D$4:$D$11,A26,'03.08'!$E$4:$E$11)+SUMIF('03.08'!$F$4:$F$11,A26,'03.08'!$G$4:$G$11)+SUMIF('03.08'!$H$4:$H$11,A26,'03.08'!$I$4:$I$11)+SUMIF('03.08'!$J$4:$J$11,A26,'03.08'!$K$4:$K$11)+SUMIF('03.08'!$L$4:$L$11,A26,'03.08'!$M$4:$M$11)+SUMIF('03.08'!$N$4:$N$11,A26,'03.08'!$O$4:$O$11)</f>
        <v>0</v>
      </c>
      <c r="K26" s="15">
        <f>SUMIF('04.08'!$B$4:$B$11,A26,'04.08'!$C$4:$C$11)+SUMIF('04.08'!$D$4:$D$11,A26,'04.08'!$E$4:$E$11)+SUMIF('04.08'!$F$4:$F$11,A26,'04.08'!$G$4:$G$11)+SUMIF('04.08'!$H$4:$H$11,A26,'04.08'!$I$4:$I$11)+SUMIF('04.08'!$J$4:$J$11,A26,'04.08'!$K$4:$K$11)+SUMIF('04.08'!$L$4:$L$11,A26,'04.08'!$M$4:$M$11)+SUMIF('04.08'!$N$4:$N$11,A26,'04.08'!$O$4:$O$11)</f>
        <v>0</v>
      </c>
      <c r="L26" s="15">
        <f>SUMIF('05.08'!$B$4:$B$11,A26,'05.08'!$C$4:$C$11)+SUMIF('05.08'!$D$4:$D$11,A26,'05.08'!$E$4:$E$11)+SUMIF('05.08'!$F$4:$F$11,A26,'05.08'!$G$4:$G$11)+SUMIF('05.08'!$H$4:$H$11,A26,'05.08'!$I$4:$I$11)+SUMIF('05.08'!$J$4:$J$11,A26,'05.08'!$K$4:$K$11)+SUMIF('05.08'!$L$4:$L$11,A26,'05.08'!$M$4:$M$11)+SUMIF('05.08'!$N$4:$N$11,A26,'05.08'!$O$4:$O$11)</f>
        <v>0</v>
      </c>
      <c r="M26" s="15">
        <f>SUMIF('06.08'!$B$4:$B$11,A26,'06.08'!$C$4:$C$11)+SUMIF('06.08'!$D$4:$D$11,A26,'06.08'!$E$4:$E$11)+SUMIF('06.08'!$F$4:$F$11,A26,'06.08'!$G$4:$G$11)+SUMIF('06.08'!$H$4:$H$11,A26,'06.08'!$I$4:$I$11)+SUMIF('06.08'!$J$4:$J$11,A26,'06.08'!$K$4:$K$11)+SUMIF('06.08'!$L$4:$L$11,A26,'06.08'!$M$4:$M$11)+SUMIF('06.08'!$N$4:$N$11,A26,'06.08'!$O$4:$O$11)</f>
        <v>0</v>
      </c>
      <c r="N26" s="15">
        <f>SUMIF('07.08'!$B$4:$B$11,A26,'07.08'!$C$4:$C$11)+SUMIF('07.08'!$D$4:$D$11,A26,'07.08'!$E$4:$E$11)+SUMIF('07.08'!$F$4:$F$11,A26,'07.08'!$G$4:$G$11)+SUMIF('07.08'!$H$4:$H$11,A26,'07.08'!$I$4:$I$11)+SUMIF('07.08'!$J$4:$J$11,A26,'07.08'!$K$4:$K$11)+SUMIF('07.08'!$L$4:$L$11,A26,'07.08'!$M$4:$M$11)+SUMIF('07.08'!$N$4:$N$11,A26,'07.08'!$O$4:$O$11)</f>
        <v>0</v>
      </c>
      <c r="O26" s="15">
        <f>SUMIF('08.08'!$B$4:$B$11,A26,'08.08'!$C$4:$C$11)+SUMIF('08.08'!$D$4:$D$11,A26,'08.08'!$E$4:$E$11)+SUMIF('08.08'!$F$4:$F$11,A26,'08.08'!$G$4:$G$11)+SUMIF('08.08'!$H$4:$H$11,A26,'08.08'!$I$4:$I$11)+SUMIF('08.08'!$J$4:$J$11,A26,'08.08'!$K$4:$K$11)+SUMIF('08.08'!$L$4:$L$11,A26,'08.08'!$M$4:$M$11)+SUMIF('08.08'!$N$4:$N$11,A26,'08.08'!$O$4:$O$11)</f>
        <v>0</v>
      </c>
      <c r="P26" s="15">
        <f>SUMIF('09.08'!$B$4:$B$11,A26,'09.08'!$C$4:$C$11)+SUMIF('09.08'!$D$4:$D$11,A26,'09.08'!$E$4:$E$11)+SUMIF('09.08'!$F$4:$F$11,A26,'09.08'!$G$4:$G$11)+SUMIF('09.08'!$H$4:$H$11,A26,'09.08'!$I$4:$I$11)+SUMIF('09.08'!$J$4:$J$11,A26,'09.08'!$K$4:$K$11)+SUMIF('09.08'!$L$4:$L$11,A26,'09.08'!$M$4:$M$11)+SUMIF('09.08'!$N$4:$N$11,A26,'09.08'!$O$4:$O$11)</f>
        <v>0</v>
      </c>
      <c r="Q26" s="15">
        <f>SUMIF('10.08'!$B$4:$B$11,A26,'10.08'!$C$4:$C$11)+SUMIF('10.08'!$D$4:$D$11,A26,'10.08'!$E$4:$E$11)+SUMIF('10.08'!$F$4:$F$11,A26,'10.08'!$G$4:$G$11)+SUMIF('10.08'!$H$4:$H$11,A26,'10.08'!$I$4:$I$11)+SUMIF('10.08'!$J$4:$J$11,A26,'10.08'!$K$4:$K$11)+SUMIF('10.08'!$L$4:$L$11,A26,'10.08'!$M$4:$M$11)+SUMIF('10.08'!$N$4:$N$11,A26,'10.08'!$O$4:$O$11)</f>
        <v>0</v>
      </c>
      <c r="R26" s="16" t="str">
        <f t="shared" si="4"/>
        <v>#N/A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>
      <c r="A27" s="10" t="str">
        <f>'список продуктов'!A34</f>
        <v>Овсяная крупа</v>
      </c>
      <c r="B27" s="10" t="str">
        <f>'список продуктов'!B34</f>
        <v>пачка</v>
      </c>
      <c r="C27" s="10">
        <f>'список продуктов'!C34</f>
        <v>450</v>
      </c>
      <c r="D27" s="10" t="str">
        <f>'список продуктов'!D34</f>
        <v/>
      </c>
      <c r="E27" s="10" t="str">
        <f>'список продуктов'!E34</f>
        <v>Долгосрочный</v>
      </c>
      <c r="F27" s="17" t="str">
        <f t="shared" si="5"/>
        <v>#N/A</v>
      </c>
      <c r="G27" s="18" t="str">
        <f t="shared" si="6"/>
        <v>Введите занчения</v>
      </c>
      <c r="H27" s="19" t="str">
        <f t="shared" si="3"/>
        <v>Введите занчения</v>
      </c>
      <c r="I27" s="14">
        <f>SUMIF('02.08'!$B$4:$B$11,A27,'02.08'!$C$4:$C$11)+SUMIF('02.08'!$D$4:$D$11,A27,'02.08'!$E$4:$E$11)+SUMIF('02.08'!$F$4:$F$11,A27,'02.08'!$G$4:$G$11)+SUMIF('02.08'!$H$4:$H$11,A27,'02.08'!$I$4:$I$11)+SUMIF('02.08'!$J$4:$J$11,A27,'02.08'!$K$4:$K$11)+SUMIF('02.08'!$L$4:$L$11,A27,'02.08'!$M$4:$M$11)+SUMIF('02.08'!$N$4:$N$11,A27,'02.08'!$O$4:$O$11)</f>
        <v>0</v>
      </c>
      <c r="J27" s="15">
        <f>SUMIF('03.08'!$B$4:$B$11,A27,'03.08'!$C$4:$C$11)+SUMIF('03.08'!$D$4:$D$11,A27,'03.08'!$E$4:$E$11)+SUMIF('03.08'!$F$4:$F$11,A27,'03.08'!$G$4:$G$11)+SUMIF('03.08'!$H$4:$H$11,A27,'03.08'!$I$4:$I$11)+SUMIF('03.08'!$J$4:$J$11,A27,'03.08'!$K$4:$K$11)+SUMIF('03.08'!$L$4:$L$11,A27,'03.08'!$M$4:$M$11)+SUMIF('03.08'!$N$4:$N$11,A27,'03.08'!$O$4:$O$11)</f>
        <v>0</v>
      </c>
      <c r="K27" s="15">
        <f>SUMIF('04.08'!$B$4:$B$11,A27,'04.08'!$C$4:$C$11)+SUMIF('04.08'!$D$4:$D$11,A27,'04.08'!$E$4:$E$11)+SUMIF('04.08'!$F$4:$F$11,A27,'04.08'!$G$4:$G$11)+SUMIF('04.08'!$H$4:$H$11,A27,'04.08'!$I$4:$I$11)+SUMIF('04.08'!$J$4:$J$11,A27,'04.08'!$K$4:$K$11)+SUMIF('04.08'!$L$4:$L$11,A27,'04.08'!$M$4:$M$11)+SUMIF('04.08'!$N$4:$N$11,A27,'04.08'!$O$4:$O$11)</f>
        <v>0</v>
      </c>
      <c r="L27" s="15">
        <f>SUMIF('05.08'!$B$4:$B$11,A27,'05.08'!$C$4:$C$11)+SUMIF('05.08'!$D$4:$D$11,A27,'05.08'!$E$4:$E$11)+SUMIF('05.08'!$F$4:$F$11,A27,'05.08'!$G$4:$G$11)+SUMIF('05.08'!$H$4:$H$11,A27,'05.08'!$I$4:$I$11)+SUMIF('05.08'!$J$4:$J$11,A27,'05.08'!$K$4:$K$11)+SUMIF('05.08'!$L$4:$L$11,A27,'05.08'!$M$4:$M$11)+SUMIF('05.08'!$N$4:$N$11,A27,'05.08'!$O$4:$O$11)</f>
        <v>0</v>
      </c>
      <c r="M27" s="15">
        <f>SUMIF('06.08'!$B$4:$B$11,A27,'06.08'!$C$4:$C$11)+SUMIF('06.08'!$D$4:$D$11,A27,'06.08'!$E$4:$E$11)+SUMIF('06.08'!$F$4:$F$11,A27,'06.08'!$G$4:$G$11)+SUMIF('06.08'!$H$4:$H$11,A27,'06.08'!$I$4:$I$11)+SUMIF('06.08'!$J$4:$J$11,A27,'06.08'!$K$4:$K$11)+SUMIF('06.08'!$L$4:$L$11,A27,'06.08'!$M$4:$M$11)+SUMIF('06.08'!$N$4:$N$11,A27,'06.08'!$O$4:$O$11)</f>
        <v>0</v>
      </c>
      <c r="N27" s="15">
        <f>SUMIF('07.08'!$B$4:$B$11,A27,'07.08'!$C$4:$C$11)+SUMIF('07.08'!$D$4:$D$11,A27,'07.08'!$E$4:$E$11)+SUMIF('07.08'!$F$4:$F$11,A27,'07.08'!$G$4:$G$11)+SUMIF('07.08'!$H$4:$H$11,A27,'07.08'!$I$4:$I$11)+SUMIF('07.08'!$J$4:$J$11,A27,'07.08'!$K$4:$K$11)+SUMIF('07.08'!$L$4:$L$11,A27,'07.08'!$M$4:$M$11)+SUMIF('07.08'!$N$4:$N$11,A27,'07.08'!$O$4:$O$11)</f>
        <v>0</v>
      </c>
      <c r="O27" s="15">
        <f>SUMIF('08.08'!$B$4:$B$11,A27,'08.08'!$C$4:$C$11)+SUMIF('08.08'!$D$4:$D$11,A27,'08.08'!$E$4:$E$11)+SUMIF('08.08'!$F$4:$F$11,A27,'08.08'!$G$4:$G$11)+SUMIF('08.08'!$H$4:$H$11,A27,'08.08'!$I$4:$I$11)+SUMIF('08.08'!$J$4:$J$11,A27,'08.08'!$K$4:$K$11)+SUMIF('08.08'!$L$4:$L$11,A27,'08.08'!$M$4:$M$11)+SUMIF('08.08'!$N$4:$N$11,A27,'08.08'!$O$4:$O$11)</f>
        <v>0</v>
      </c>
      <c r="P27" s="15">
        <f>SUMIF('09.08'!$B$4:$B$11,A27,'09.08'!$C$4:$C$11)+SUMIF('09.08'!$D$4:$D$11,A27,'09.08'!$E$4:$E$11)+SUMIF('09.08'!$F$4:$F$11,A27,'09.08'!$G$4:$G$11)+SUMIF('09.08'!$H$4:$H$11,A27,'09.08'!$I$4:$I$11)+SUMIF('09.08'!$J$4:$J$11,A27,'09.08'!$K$4:$K$11)+SUMIF('09.08'!$L$4:$L$11,A27,'09.08'!$M$4:$M$11)+SUMIF('09.08'!$N$4:$N$11,A27,'09.08'!$O$4:$O$11)</f>
        <v>0</v>
      </c>
      <c r="Q27" s="15">
        <f>SUMIF('10.08'!$B$4:$B$11,A27,'10.08'!$C$4:$C$11)+SUMIF('10.08'!$D$4:$D$11,A27,'10.08'!$E$4:$E$11)+SUMIF('10.08'!$F$4:$F$11,A27,'10.08'!$G$4:$G$11)+SUMIF('10.08'!$H$4:$H$11,A27,'10.08'!$I$4:$I$11)+SUMIF('10.08'!$J$4:$J$11,A27,'10.08'!$K$4:$K$11)+SUMIF('10.08'!$L$4:$L$11,A27,'10.08'!$M$4:$M$11)+SUMIF('10.08'!$N$4:$N$11,A27,'10.08'!$O$4:$O$11)</f>
        <v>0</v>
      </c>
      <c r="R27" s="16" t="str">
        <f t="shared" si="4"/>
        <v>#N/A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>
      <c r="A28" s="10" t="str">
        <f>'список продуктов'!A35</f>
        <v>Огурцы</v>
      </c>
      <c r="B28" s="10" t="str">
        <f>'список продуктов'!B35</f>
        <v>кг</v>
      </c>
      <c r="C28" s="10">
        <f>'список продуктов'!C35</f>
        <v>1000</v>
      </c>
      <c r="D28" s="10" t="str">
        <f>'список продуктов'!D35</f>
        <v/>
      </c>
      <c r="E28" s="10" t="str">
        <f>'список продуктов'!E35</f>
        <v>Краткосрочный</v>
      </c>
      <c r="F28" s="21" t="str">
        <f t="shared" si="5"/>
        <v>#N/A</v>
      </c>
      <c r="G28" s="22" t="str">
        <f t="shared" si="6"/>
        <v>Введите занчения</v>
      </c>
      <c r="H28" s="19" t="str">
        <f t="shared" si="3"/>
        <v>Введите занчения</v>
      </c>
      <c r="I28" s="14">
        <f>SUMIF('02.08'!$B$4:$B$11,A28,'02.08'!$C$4:$C$11)+SUMIF('02.08'!$D$4:$D$11,A28,'02.08'!$E$4:$E$11)+SUMIF('02.08'!$F$4:$F$11,A28,'02.08'!$G$4:$G$11)+SUMIF('02.08'!$H$4:$H$11,A28,'02.08'!$I$4:$I$11)+SUMIF('02.08'!$J$4:$J$11,A28,'02.08'!$K$4:$K$11)+SUMIF('02.08'!$L$4:$L$11,A28,'02.08'!$M$4:$M$11)+SUMIF('02.08'!$N$4:$N$11,A28,'02.08'!$O$4:$O$11)</f>
        <v>0</v>
      </c>
      <c r="J28" s="15">
        <f>SUMIF('03.08'!$B$4:$B$11,A28,'03.08'!$C$4:$C$11)+SUMIF('03.08'!$D$4:$D$11,A28,'03.08'!$E$4:$E$11)+SUMIF('03.08'!$F$4:$F$11,A28,'03.08'!$G$4:$G$11)+SUMIF('03.08'!$H$4:$H$11,A28,'03.08'!$I$4:$I$11)+SUMIF('03.08'!$J$4:$J$11,A28,'03.08'!$K$4:$K$11)+SUMIF('03.08'!$L$4:$L$11,A28,'03.08'!$M$4:$M$11)+SUMIF('03.08'!$N$4:$N$11,A28,'03.08'!$O$4:$O$11)</f>
        <v>0</v>
      </c>
      <c r="K28" s="15">
        <f>SUMIF('04.08'!$B$4:$B$11,A28,'04.08'!$C$4:$C$11)+SUMIF('04.08'!$D$4:$D$11,A28,'04.08'!$E$4:$E$11)+SUMIF('04.08'!$F$4:$F$11,A28,'04.08'!$G$4:$G$11)+SUMIF('04.08'!$H$4:$H$11,A28,'04.08'!$I$4:$I$11)+SUMIF('04.08'!$J$4:$J$11,A28,'04.08'!$K$4:$K$11)+SUMIF('04.08'!$L$4:$L$11,A28,'04.08'!$M$4:$M$11)+SUMIF('04.08'!$N$4:$N$11,A28,'04.08'!$O$4:$O$11)</f>
        <v>0</v>
      </c>
      <c r="L28" s="15">
        <f>SUMIF('05.08'!$B$4:$B$11,A28,'05.08'!$C$4:$C$11)+SUMIF('05.08'!$D$4:$D$11,A28,'05.08'!$E$4:$E$11)+SUMIF('05.08'!$F$4:$F$11,A28,'05.08'!$G$4:$G$11)+SUMIF('05.08'!$H$4:$H$11,A28,'05.08'!$I$4:$I$11)+SUMIF('05.08'!$J$4:$J$11,A28,'05.08'!$K$4:$K$11)+SUMIF('05.08'!$L$4:$L$11,A28,'05.08'!$M$4:$M$11)+SUMIF('05.08'!$N$4:$N$11,A28,'05.08'!$O$4:$O$11)</f>
        <v>0</v>
      </c>
      <c r="M28" s="15">
        <f>SUMIF('06.08'!$B$4:$B$11,A28,'06.08'!$C$4:$C$11)+SUMIF('06.08'!$D$4:$D$11,A28,'06.08'!$E$4:$E$11)+SUMIF('06.08'!$F$4:$F$11,A28,'06.08'!$G$4:$G$11)+SUMIF('06.08'!$H$4:$H$11,A28,'06.08'!$I$4:$I$11)+SUMIF('06.08'!$J$4:$J$11,A28,'06.08'!$K$4:$K$11)+SUMIF('06.08'!$L$4:$L$11,A28,'06.08'!$M$4:$M$11)+SUMIF('06.08'!$N$4:$N$11,A28,'06.08'!$O$4:$O$11)</f>
        <v>0</v>
      </c>
      <c r="N28" s="15">
        <f>SUMIF('07.08'!$B$4:$B$11,A28,'07.08'!$C$4:$C$11)+SUMIF('07.08'!$D$4:$D$11,A28,'07.08'!$E$4:$E$11)+SUMIF('07.08'!$F$4:$F$11,A28,'07.08'!$G$4:$G$11)+SUMIF('07.08'!$H$4:$H$11,A28,'07.08'!$I$4:$I$11)+SUMIF('07.08'!$J$4:$J$11,A28,'07.08'!$K$4:$K$11)+SUMIF('07.08'!$L$4:$L$11,A28,'07.08'!$M$4:$M$11)+SUMIF('07.08'!$N$4:$N$11,A28,'07.08'!$O$4:$O$11)</f>
        <v>0</v>
      </c>
      <c r="O28" s="15">
        <f>SUMIF('08.08'!$B$4:$B$11,A28,'08.08'!$C$4:$C$11)+SUMIF('08.08'!$D$4:$D$11,A28,'08.08'!$E$4:$E$11)+SUMIF('08.08'!$F$4:$F$11,A28,'08.08'!$G$4:$G$11)+SUMIF('08.08'!$H$4:$H$11,A28,'08.08'!$I$4:$I$11)+SUMIF('08.08'!$J$4:$J$11,A28,'08.08'!$K$4:$K$11)+SUMIF('08.08'!$L$4:$L$11,A28,'08.08'!$M$4:$M$11)+SUMIF('08.08'!$N$4:$N$11,A28,'08.08'!$O$4:$O$11)</f>
        <v>0</v>
      </c>
      <c r="P28" s="15">
        <f>SUMIF('09.08'!$B$4:$B$11,A28,'09.08'!$C$4:$C$11)+SUMIF('09.08'!$D$4:$D$11,A28,'09.08'!$E$4:$E$11)+SUMIF('09.08'!$F$4:$F$11,A28,'09.08'!$G$4:$G$11)+SUMIF('09.08'!$H$4:$H$11,A28,'09.08'!$I$4:$I$11)+SUMIF('09.08'!$J$4:$J$11,A28,'09.08'!$K$4:$K$11)+SUMIF('09.08'!$L$4:$L$11,A28,'09.08'!$M$4:$M$11)+SUMIF('09.08'!$N$4:$N$11,A28,'09.08'!$O$4:$O$11)</f>
        <v>0</v>
      </c>
      <c r="Q28" s="15">
        <f>SUMIF('10.08'!$B$4:$B$11,A28,'10.08'!$C$4:$C$11)+SUMIF('10.08'!$D$4:$D$11,A28,'10.08'!$E$4:$E$11)+SUMIF('10.08'!$F$4:$F$11,A28,'10.08'!$G$4:$G$11)+SUMIF('10.08'!$H$4:$H$11,A28,'10.08'!$I$4:$I$11)+SUMIF('10.08'!$J$4:$J$11,A28,'10.08'!$K$4:$K$11)+SUMIF('10.08'!$L$4:$L$11,A28,'10.08'!$M$4:$M$11)+SUMIF('10.08'!$N$4:$N$11,A28,'10.08'!$O$4:$O$11)</f>
        <v>0</v>
      </c>
      <c r="R28" s="16" t="str">
        <f t="shared" si="4"/>
        <v>#N/A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</row>
    <row r="29">
      <c r="A29" s="10" t="str">
        <f>'список продуктов'!A36</f>
        <v>Охотничьи сосиски</v>
      </c>
      <c r="B29" s="10" t="str">
        <f>'список продуктов'!B36</f>
        <v>пачка</v>
      </c>
      <c r="C29" s="10" t="str">
        <f>'список продуктов'!C36</f>
        <v/>
      </c>
      <c r="D29" s="10" t="str">
        <f>'список продуктов'!D36</f>
        <v/>
      </c>
      <c r="E29" s="10" t="str">
        <f>'список продуктов'!E36</f>
        <v>Краткосрочный</v>
      </c>
      <c r="F29" s="21" t="str">
        <f t="shared" si="5"/>
        <v>#N/A</v>
      </c>
      <c r="G29" s="22" t="str">
        <f t="shared" si="6"/>
        <v>Введите занчения</v>
      </c>
      <c r="H29" s="19" t="str">
        <f t="shared" si="3"/>
        <v>Введите занчения</v>
      </c>
      <c r="I29" s="14">
        <f>SUMIF('02.08'!$B$4:$B$11,A29,'02.08'!$C$4:$C$11)+SUMIF('02.08'!$D$4:$D$11,A29,'02.08'!$E$4:$E$11)+SUMIF('02.08'!$F$4:$F$11,A29,'02.08'!$G$4:$G$11)+SUMIF('02.08'!$H$4:$H$11,A29,'02.08'!$I$4:$I$11)+SUMIF('02.08'!$J$4:$J$11,A29,'02.08'!$K$4:$K$11)+SUMIF('02.08'!$L$4:$L$11,A29,'02.08'!$M$4:$M$11)+SUMIF('02.08'!$N$4:$N$11,A29,'02.08'!$O$4:$O$11)</f>
        <v>0</v>
      </c>
      <c r="J29" s="15">
        <f>SUMIF('03.08'!$B$4:$B$11,A29,'03.08'!$C$4:$C$11)+SUMIF('03.08'!$D$4:$D$11,A29,'03.08'!$E$4:$E$11)+SUMIF('03.08'!$F$4:$F$11,A29,'03.08'!$G$4:$G$11)+SUMIF('03.08'!$H$4:$H$11,A29,'03.08'!$I$4:$I$11)+SUMIF('03.08'!$J$4:$J$11,A29,'03.08'!$K$4:$K$11)+SUMIF('03.08'!$L$4:$L$11,A29,'03.08'!$M$4:$M$11)+SUMIF('03.08'!$N$4:$N$11,A29,'03.08'!$O$4:$O$11)</f>
        <v>0</v>
      </c>
      <c r="K29" s="15">
        <f>SUMIF('04.08'!$B$4:$B$11,A29,'04.08'!$C$4:$C$11)+SUMIF('04.08'!$D$4:$D$11,A29,'04.08'!$E$4:$E$11)+SUMIF('04.08'!$F$4:$F$11,A29,'04.08'!$G$4:$G$11)+SUMIF('04.08'!$H$4:$H$11,A29,'04.08'!$I$4:$I$11)+SUMIF('04.08'!$J$4:$J$11,A29,'04.08'!$K$4:$K$11)+SUMIF('04.08'!$L$4:$L$11,A29,'04.08'!$M$4:$M$11)+SUMIF('04.08'!$N$4:$N$11,A29,'04.08'!$O$4:$O$11)</f>
        <v>0</v>
      </c>
      <c r="L29" s="15">
        <f>SUMIF('05.08'!$B$4:$B$11,A29,'05.08'!$C$4:$C$11)+SUMIF('05.08'!$D$4:$D$11,A29,'05.08'!$E$4:$E$11)+SUMIF('05.08'!$F$4:$F$11,A29,'05.08'!$G$4:$G$11)+SUMIF('05.08'!$H$4:$H$11,A29,'05.08'!$I$4:$I$11)+SUMIF('05.08'!$J$4:$J$11,A29,'05.08'!$K$4:$K$11)+SUMIF('05.08'!$L$4:$L$11,A29,'05.08'!$M$4:$M$11)+SUMIF('05.08'!$N$4:$N$11,A29,'05.08'!$O$4:$O$11)</f>
        <v>0</v>
      </c>
      <c r="M29" s="15">
        <f>SUMIF('06.08'!$B$4:$B$11,A29,'06.08'!$C$4:$C$11)+SUMIF('06.08'!$D$4:$D$11,A29,'06.08'!$E$4:$E$11)+SUMIF('06.08'!$F$4:$F$11,A29,'06.08'!$G$4:$G$11)+SUMIF('06.08'!$H$4:$H$11,A29,'06.08'!$I$4:$I$11)+SUMIF('06.08'!$J$4:$J$11,A29,'06.08'!$K$4:$K$11)+SUMIF('06.08'!$L$4:$L$11,A29,'06.08'!$M$4:$M$11)+SUMIF('06.08'!$N$4:$N$11,A29,'06.08'!$O$4:$O$11)</f>
        <v>0</v>
      </c>
      <c r="N29" s="15">
        <f>SUMIF('07.08'!$B$4:$B$11,A29,'07.08'!$C$4:$C$11)+SUMIF('07.08'!$D$4:$D$11,A29,'07.08'!$E$4:$E$11)+SUMIF('07.08'!$F$4:$F$11,A29,'07.08'!$G$4:$G$11)+SUMIF('07.08'!$H$4:$H$11,A29,'07.08'!$I$4:$I$11)+SUMIF('07.08'!$J$4:$J$11,A29,'07.08'!$K$4:$K$11)+SUMIF('07.08'!$L$4:$L$11,A29,'07.08'!$M$4:$M$11)+SUMIF('07.08'!$N$4:$N$11,A29,'07.08'!$O$4:$O$11)</f>
        <v>0</v>
      </c>
      <c r="O29" s="15">
        <f>SUMIF('08.08'!$B$4:$B$11,A29,'08.08'!$C$4:$C$11)+SUMIF('08.08'!$D$4:$D$11,A29,'08.08'!$E$4:$E$11)+SUMIF('08.08'!$F$4:$F$11,A29,'08.08'!$G$4:$G$11)+SUMIF('08.08'!$H$4:$H$11,A29,'08.08'!$I$4:$I$11)+SUMIF('08.08'!$J$4:$J$11,A29,'08.08'!$K$4:$K$11)+SUMIF('08.08'!$L$4:$L$11,A29,'08.08'!$M$4:$M$11)+SUMIF('08.08'!$N$4:$N$11,A29,'08.08'!$O$4:$O$11)</f>
        <v>0</v>
      </c>
      <c r="P29" s="15">
        <f>SUMIF('09.08'!$B$4:$B$11,A29,'09.08'!$C$4:$C$11)+SUMIF('09.08'!$D$4:$D$11,A29,'09.08'!$E$4:$E$11)+SUMIF('09.08'!$F$4:$F$11,A29,'09.08'!$G$4:$G$11)+SUMIF('09.08'!$H$4:$H$11,A29,'09.08'!$I$4:$I$11)+SUMIF('09.08'!$J$4:$J$11,A29,'09.08'!$K$4:$K$11)+SUMIF('09.08'!$L$4:$L$11,A29,'09.08'!$M$4:$M$11)+SUMIF('09.08'!$N$4:$N$11,A29,'09.08'!$O$4:$O$11)</f>
        <v>0</v>
      </c>
      <c r="Q29" s="15">
        <f>SUMIF('10.08'!$B$4:$B$11,A29,'10.08'!$C$4:$C$11)+SUMIF('10.08'!$D$4:$D$11,A29,'10.08'!$E$4:$E$11)+SUMIF('10.08'!$F$4:$F$11,A29,'10.08'!$G$4:$G$11)+SUMIF('10.08'!$H$4:$H$11,A29,'10.08'!$I$4:$I$11)+SUMIF('10.08'!$J$4:$J$11,A29,'10.08'!$K$4:$K$11)+SUMIF('10.08'!$L$4:$L$11,A29,'10.08'!$M$4:$M$11)+SUMIF('10.08'!$N$4:$N$11,A29,'10.08'!$O$4:$O$11)</f>
        <v>0</v>
      </c>
      <c r="R29" s="16" t="str">
        <f t="shared" si="4"/>
        <v>#N/A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>
      <c r="A30" s="10" t="str">
        <f>'список продуктов'!A37</f>
        <v>паприка</v>
      </c>
      <c r="B30" s="10" t="str">
        <f>'список продуктов'!B37</f>
        <v>пачка</v>
      </c>
      <c r="C30" s="10" t="str">
        <f>'список продуктов'!C37</f>
        <v/>
      </c>
      <c r="D30" s="10" t="str">
        <f>'список продуктов'!D37</f>
        <v/>
      </c>
      <c r="E30" s="10" t="str">
        <f>'список продуктов'!E37</f>
        <v>Долгосрочный</v>
      </c>
      <c r="F30" s="21" t="str">
        <f t="shared" si="5"/>
        <v>#N/A</v>
      </c>
      <c r="G30" s="22" t="str">
        <f t="shared" si="6"/>
        <v>Введите занчения</v>
      </c>
      <c r="H30" s="19" t="str">
        <f t="shared" si="3"/>
        <v>Введите занчения</v>
      </c>
      <c r="I30" s="14">
        <f>SUMIF('02.08'!$B$4:$B$11,A30,'02.08'!$C$4:$C$11)+SUMIF('02.08'!$D$4:$D$11,A30,'02.08'!$E$4:$E$11)+SUMIF('02.08'!$F$4:$F$11,A30,'02.08'!$G$4:$G$11)+SUMIF('02.08'!$H$4:$H$11,A30,'02.08'!$I$4:$I$11)+SUMIF('02.08'!$J$4:$J$11,A30,'02.08'!$K$4:$K$11)+SUMIF('02.08'!$L$4:$L$11,A30,'02.08'!$M$4:$M$11)+SUMIF('02.08'!$N$4:$N$11,A30,'02.08'!$O$4:$O$11)</f>
        <v>0</v>
      </c>
      <c r="J30" s="15">
        <f>SUMIF('03.08'!$B$4:$B$11,A30,'03.08'!$C$4:$C$11)+SUMIF('03.08'!$D$4:$D$11,A30,'03.08'!$E$4:$E$11)+SUMIF('03.08'!$F$4:$F$11,A30,'03.08'!$G$4:$G$11)+SUMIF('03.08'!$H$4:$H$11,A30,'03.08'!$I$4:$I$11)+SUMIF('03.08'!$J$4:$J$11,A30,'03.08'!$K$4:$K$11)+SUMIF('03.08'!$L$4:$L$11,A30,'03.08'!$M$4:$M$11)+SUMIF('03.08'!$N$4:$N$11,A30,'03.08'!$O$4:$O$11)</f>
        <v>0</v>
      </c>
      <c r="K30" s="15">
        <f>SUMIF('04.08'!$B$4:$B$11,A30,'04.08'!$C$4:$C$11)+SUMIF('04.08'!$D$4:$D$11,A30,'04.08'!$E$4:$E$11)+SUMIF('04.08'!$F$4:$F$11,A30,'04.08'!$G$4:$G$11)+SUMIF('04.08'!$H$4:$H$11,A30,'04.08'!$I$4:$I$11)+SUMIF('04.08'!$J$4:$J$11,A30,'04.08'!$K$4:$K$11)+SUMIF('04.08'!$L$4:$L$11,A30,'04.08'!$M$4:$M$11)+SUMIF('04.08'!$N$4:$N$11,A30,'04.08'!$O$4:$O$11)</f>
        <v>0</v>
      </c>
      <c r="L30" s="15">
        <f>SUMIF('05.08'!$B$4:$B$11,A30,'05.08'!$C$4:$C$11)+SUMIF('05.08'!$D$4:$D$11,A30,'05.08'!$E$4:$E$11)+SUMIF('05.08'!$F$4:$F$11,A30,'05.08'!$G$4:$G$11)+SUMIF('05.08'!$H$4:$H$11,A30,'05.08'!$I$4:$I$11)+SUMIF('05.08'!$J$4:$J$11,A30,'05.08'!$K$4:$K$11)+SUMIF('05.08'!$L$4:$L$11,A30,'05.08'!$M$4:$M$11)+SUMIF('05.08'!$N$4:$N$11,A30,'05.08'!$O$4:$O$11)</f>
        <v>0</v>
      </c>
      <c r="M30" s="15">
        <f>SUMIF('06.08'!$B$4:$B$11,A30,'06.08'!$C$4:$C$11)+SUMIF('06.08'!$D$4:$D$11,A30,'06.08'!$E$4:$E$11)+SUMIF('06.08'!$F$4:$F$11,A30,'06.08'!$G$4:$G$11)+SUMIF('06.08'!$H$4:$H$11,A30,'06.08'!$I$4:$I$11)+SUMIF('06.08'!$J$4:$J$11,A30,'06.08'!$K$4:$K$11)+SUMIF('06.08'!$L$4:$L$11,A30,'06.08'!$M$4:$M$11)+SUMIF('06.08'!$N$4:$N$11,A30,'06.08'!$O$4:$O$11)</f>
        <v>0</v>
      </c>
      <c r="N30" s="15">
        <f>SUMIF('07.08'!$B$4:$B$11,A30,'07.08'!$C$4:$C$11)+SUMIF('07.08'!$D$4:$D$11,A30,'07.08'!$E$4:$E$11)+SUMIF('07.08'!$F$4:$F$11,A30,'07.08'!$G$4:$G$11)+SUMIF('07.08'!$H$4:$H$11,A30,'07.08'!$I$4:$I$11)+SUMIF('07.08'!$J$4:$J$11,A30,'07.08'!$K$4:$K$11)+SUMIF('07.08'!$L$4:$L$11,A30,'07.08'!$M$4:$M$11)+SUMIF('07.08'!$N$4:$N$11,A30,'07.08'!$O$4:$O$11)</f>
        <v>0</v>
      </c>
      <c r="O30" s="15">
        <f>SUMIF('08.08'!$B$4:$B$11,A30,'08.08'!$C$4:$C$11)+SUMIF('08.08'!$D$4:$D$11,A30,'08.08'!$E$4:$E$11)+SUMIF('08.08'!$F$4:$F$11,A30,'08.08'!$G$4:$G$11)+SUMIF('08.08'!$H$4:$H$11,A30,'08.08'!$I$4:$I$11)+SUMIF('08.08'!$J$4:$J$11,A30,'08.08'!$K$4:$K$11)+SUMIF('08.08'!$L$4:$L$11,A30,'08.08'!$M$4:$M$11)+SUMIF('08.08'!$N$4:$N$11,A30,'08.08'!$O$4:$O$11)</f>
        <v>0</v>
      </c>
      <c r="P30" s="15">
        <f>SUMIF('09.08'!$B$4:$B$11,A30,'09.08'!$C$4:$C$11)+SUMIF('09.08'!$D$4:$D$11,A30,'09.08'!$E$4:$E$11)+SUMIF('09.08'!$F$4:$F$11,A30,'09.08'!$G$4:$G$11)+SUMIF('09.08'!$H$4:$H$11,A30,'09.08'!$I$4:$I$11)+SUMIF('09.08'!$J$4:$J$11,A30,'09.08'!$K$4:$K$11)+SUMIF('09.08'!$L$4:$L$11,A30,'09.08'!$M$4:$M$11)+SUMIF('09.08'!$N$4:$N$11,A30,'09.08'!$O$4:$O$11)</f>
        <v>0</v>
      </c>
      <c r="Q30" s="15">
        <f>SUMIF('10.08'!$B$4:$B$11,A30,'10.08'!$C$4:$C$11)+SUMIF('10.08'!$D$4:$D$11,A30,'10.08'!$E$4:$E$11)+SUMIF('10.08'!$F$4:$F$11,A30,'10.08'!$G$4:$G$11)+SUMIF('10.08'!$H$4:$H$11,A30,'10.08'!$I$4:$I$11)+SUMIF('10.08'!$J$4:$J$11,A30,'10.08'!$K$4:$K$11)+SUMIF('10.08'!$L$4:$L$11,A30,'10.08'!$M$4:$M$11)+SUMIF('10.08'!$N$4:$N$11,A30,'10.08'!$O$4:$O$11)</f>
        <v>0</v>
      </c>
      <c r="R30" s="16" t="str">
        <f t="shared" si="4"/>
        <v>#N/A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>
      <c r="A31" s="10" t="str">
        <f>'список продуктов'!A39</f>
        <v>Помидоры</v>
      </c>
      <c r="B31" s="10" t="str">
        <f>'список продуктов'!B39</f>
        <v>кг</v>
      </c>
      <c r="C31" s="10">
        <f>'список продуктов'!C39</f>
        <v>1000</v>
      </c>
      <c r="D31" s="10" t="str">
        <f>'список продуктов'!D39</f>
        <v/>
      </c>
      <c r="E31" s="10" t="str">
        <f>'список продуктов'!E39</f>
        <v>Краткосрочный</v>
      </c>
      <c r="F31" s="21" t="str">
        <f t="shared" si="5"/>
        <v>#N/A</v>
      </c>
      <c r="G31" s="22" t="str">
        <f t="shared" si="6"/>
        <v>Введите занчения</v>
      </c>
      <c r="H31" s="19" t="str">
        <f t="shared" si="3"/>
        <v>Введите занчения</v>
      </c>
      <c r="I31" s="14">
        <f>SUMIF('02.08'!$B$4:$B$11,A31,'02.08'!$C$4:$C$11)+SUMIF('02.08'!$D$4:$D$11,A31,'02.08'!$E$4:$E$11)+SUMIF('02.08'!$F$4:$F$11,A31,'02.08'!$G$4:$G$11)+SUMIF('02.08'!$H$4:$H$11,A31,'02.08'!$I$4:$I$11)+SUMIF('02.08'!$J$4:$J$11,A31,'02.08'!$K$4:$K$11)+SUMIF('02.08'!$L$4:$L$11,A31,'02.08'!$M$4:$M$11)+SUMIF('02.08'!$N$4:$N$11,A31,'02.08'!$O$4:$O$11)</f>
        <v>0</v>
      </c>
      <c r="J31" s="15">
        <f>SUMIF('03.08'!$B$4:$B$11,A31,'03.08'!$C$4:$C$11)+SUMIF('03.08'!$D$4:$D$11,A31,'03.08'!$E$4:$E$11)+SUMIF('03.08'!$F$4:$F$11,A31,'03.08'!$G$4:$G$11)+SUMIF('03.08'!$H$4:$H$11,A31,'03.08'!$I$4:$I$11)+SUMIF('03.08'!$J$4:$J$11,A31,'03.08'!$K$4:$K$11)+SUMIF('03.08'!$L$4:$L$11,A31,'03.08'!$M$4:$M$11)+SUMIF('03.08'!$N$4:$N$11,A31,'03.08'!$O$4:$O$11)</f>
        <v>0</v>
      </c>
      <c r="K31" s="15">
        <f>SUMIF('04.08'!$B$4:$B$11,A31,'04.08'!$C$4:$C$11)+SUMIF('04.08'!$D$4:$D$11,A31,'04.08'!$E$4:$E$11)+SUMIF('04.08'!$F$4:$F$11,A31,'04.08'!$G$4:$G$11)+SUMIF('04.08'!$H$4:$H$11,A31,'04.08'!$I$4:$I$11)+SUMIF('04.08'!$J$4:$J$11,A31,'04.08'!$K$4:$K$11)+SUMIF('04.08'!$L$4:$L$11,A31,'04.08'!$M$4:$M$11)+SUMIF('04.08'!$N$4:$N$11,A31,'04.08'!$O$4:$O$11)</f>
        <v>0</v>
      </c>
      <c r="L31" s="15">
        <f>SUMIF('05.08'!$B$4:$B$11,A31,'05.08'!$C$4:$C$11)+SUMIF('05.08'!$D$4:$D$11,A31,'05.08'!$E$4:$E$11)+SUMIF('05.08'!$F$4:$F$11,A31,'05.08'!$G$4:$G$11)+SUMIF('05.08'!$H$4:$H$11,A31,'05.08'!$I$4:$I$11)+SUMIF('05.08'!$J$4:$J$11,A31,'05.08'!$K$4:$K$11)+SUMIF('05.08'!$L$4:$L$11,A31,'05.08'!$M$4:$M$11)+SUMIF('05.08'!$N$4:$N$11,A31,'05.08'!$O$4:$O$11)</f>
        <v>0</v>
      </c>
      <c r="M31" s="15">
        <f>SUMIF('06.08'!$B$4:$B$11,A31,'06.08'!$C$4:$C$11)+SUMIF('06.08'!$D$4:$D$11,A31,'06.08'!$E$4:$E$11)+SUMIF('06.08'!$F$4:$F$11,A31,'06.08'!$G$4:$G$11)+SUMIF('06.08'!$H$4:$H$11,A31,'06.08'!$I$4:$I$11)+SUMIF('06.08'!$J$4:$J$11,A31,'06.08'!$K$4:$K$11)+SUMIF('06.08'!$L$4:$L$11,A31,'06.08'!$M$4:$M$11)+SUMIF('06.08'!$N$4:$N$11,A31,'06.08'!$O$4:$O$11)</f>
        <v>0</v>
      </c>
      <c r="N31" s="15">
        <f>SUMIF('07.08'!$B$4:$B$11,A31,'07.08'!$C$4:$C$11)+SUMIF('07.08'!$D$4:$D$11,A31,'07.08'!$E$4:$E$11)+SUMIF('07.08'!$F$4:$F$11,A31,'07.08'!$G$4:$G$11)+SUMIF('07.08'!$H$4:$H$11,A31,'07.08'!$I$4:$I$11)+SUMIF('07.08'!$J$4:$J$11,A31,'07.08'!$K$4:$K$11)+SUMIF('07.08'!$L$4:$L$11,A31,'07.08'!$M$4:$M$11)+SUMIF('07.08'!$N$4:$N$11,A31,'07.08'!$O$4:$O$11)</f>
        <v>0</v>
      </c>
      <c r="O31" s="15">
        <f>SUMIF('08.08'!$B$4:$B$11,A31,'08.08'!$C$4:$C$11)+SUMIF('08.08'!$D$4:$D$11,A31,'08.08'!$E$4:$E$11)+SUMIF('08.08'!$F$4:$F$11,A31,'08.08'!$G$4:$G$11)+SUMIF('08.08'!$H$4:$H$11,A31,'08.08'!$I$4:$I$11)+SUMIF('08.08'!$J$4:$J$11,A31,'08.08'!$K$4:$K$11)+SUMIF('08.08'!$L$4:$L$11,A31,'08.08'!$M$4:$M$11)+SUMIF('08.08'!$N$4:$N$11,A31,'08.08'!$O$4:$O$11)</f>
        <v>0</v>
      </c>
      <c r="P31" s="15">
        <f>SUMIF('09.08'!$B$4:$B$11,A31,'09.08'!$C$4:$C$11)+SUMIF('09.08'!$D$4:$D$11,A31,'09.08'!$E$4:$E$11)+SUMIF('09.08'!$F$4:$F$11,A31,'09.08'!$G$4:$G$11)+SUMIF('09.08'!$H$4:$H$11,A31,'09.08'!$I$4:$I$11)+SUMIF('09.08'!$J$4:$J$11,A31,'09.08'!$K$4:$K$11)+SUMIF('09.08'!$L$4:$L$11,A31,'09.08'!$M$4:$M$11)+SUMIF('09.08'!$N$4:$N$11,A31,'09.08'!$O$4:$O$11)</f>
        <v>0</v>
      </c>
      <c r="Q31" s="15">
        <f>SUMIF('10.08'!$B$4:$B$11,A31,'10.08'!$C$4:$C$11)+SUMIF('10.08'!$D$4:$D$11,A31,'10.08'!$E$4:$E$11)+SUMIF('10.08'!$F$4:$F$11,A31,'10.08'!$G$4:$G$11)+SUMIF('10.08'!$H$4:$H$11,A31,'10.08'!$I$4:$I$11)+SUMIF('10.08'!$J$4:$J$11,A31,'10.08'!$K$4:$K$11)+SUMIF('10.08'!$L$4:$L$11,A31,'10.08'!$M$4:$M$11)+SUMIF('10.08'!$N$4:$N$11,A31,'10.08'!$O$4:$O$11)</f>
        <v>0</v>
      </c>
      <c r="R31" s="16" t="str">
        <f t="shared" si="4"/>
        <v>#N/A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  <row r="32">
      <c r="A32" s="10" t="str">
        <f>'список продуктов'!A40</f>
        <v>Приправа для плова</v>
      </c>
      <c r="B32" s="10" t="str">
        <f>'список продуктов'!B40</f>
        <v>пачка</v>
      </c>
      <c r="C32" s="10" t="str">
        <f>'список продуктов'!C40</f>
        <v/>
      </c>
      <c r="D32" s="10" t="str">
        <f>'список продуктов'!D40</f>
        <v/>
      </c>
      <c r="E32" s="10" t="str">
        <f>'список продуктов'!E40</f>
        <v>Долгосрочный</v>
      </c>
      <c r="F32" s="21" t="str">
        <f t="shared" si="5"/>
        <v>#N/A</v>
      </c>
      <c r="G32" s="22" t="str">
        <f t="shared" si="6"/>
        <v>Введите занчения</v>
      </c>
      <c r="H32" s="19" t="str">
        <f t="shared" si="3"/>
        <v>Введите занчения</v>
      </c>
      <c r="I32" s="14">
        <f>SUMIF('02.08'!$B$4:$B$11,A32,'02.08'!$C$4:$C$11)+SUMIF('02.08'!$D$4:$D$11,A32,'02.08'!$E$4:$E$11)+SUMIF('02.08'!$F$4:$F$11,A32,'02.08'!$G$4:$G$11)+SUMIF('02.08'!$H$4:$H$11,A32,'02.08'!$I$4:$I$11)+SUMIF('02.08'!$J$4:$J$11,A32,'02.08'!$K$4:$K$11)+SUMIF('02.08'!$L$4:$L$11,A32,'02.08'!$M$4:$M$11)+SUMIF('02.08'!$N$4:$N$11,A32,'02.08'!$O$4:$O$11)</f>
        <v>0</v>
      </c>
      <c r="J32" s="15">
        <f>SUMIF('03.08'!$B$4:$B$11,A32,'03.08'!$C$4:$C$11)+SUMIF('03.08'!$D$4:$D$11,A32,'03.08'!$E$4:$E$11)+SUMIF('03.08'!$F$4:$F$11,A32,'03.08'!$G$4:$G$11)+SUMIF('03.08'!$H$4:$H$11,A32,'03.08'!$I$4:$I$11)+SUMIF('03.08'!$J$4:$J$11,A32,'03.08'!$K$4:$K$11)+SUMIF('03.08'!$L$4:$L$11,A32,'03.08'!$M$4:$M$11)+SUMIF('03.08'!$N$4:$N$11,A32,'03.08'!$O$4:$O$11)</f>
        <v>0</v>
      </c>
      <c r="K32" s="15">
        <f>SUMIF('04.08'!$B$4:$B$11,A32,'04.08'!$C$4:$C$11)+SUMIF('04.08'!$D$4:$D$11,A32,'04.08'!$E$4:$E$11)+SUMIF('04.08'!$F$4:$F$11,A32,'04.08'!$G$4:$G$11)+SUMIF('04.08'!$H$4:$H$11,A32,'04.08'!$I$4:$I$11)+SUMIF('04.08'!$J$4:$J$11,A32,'04.08'!$K$4:$K$11)+SUMIF('04.08'!$L$4:$L$11,A32,'04.08'!$M$4:$M$11)+SUMIF('04.08'!$N$4:$N$11,A32,'04.08'!$O$4:$O$11)</f>
        <v>0</v>
      </c>
      <c r="L32" s="15">
        <f>SUMIF('05.08'!$B$4:$B$11,A32,'05.08'!$C$4:$C$11)+SUMIF('05.08'!$D$4:$D$11,A32,'05.08'!$E$4:$E$11)+SUMIF('05.08'!$F$4:$F$11,A32,'05.08'!$G$4:$G$11)+SUMIF('05.08'!$H$4:$H$11,A32,'05.08'!$I$4:$I$11)+SUMIF('05.08'!$J$4:$J$11,A32,'05.08'!$K$4:$K$11)+SUMIF('05.08'!$L$4:$L$11,A32,'05.08'!$M$4:$M$11)+SUMIF('05.08'!$N$4:$N$11,A32,'05.08'!$O$4:$O$11)</f>
        <v>0</v>
      </c>
      <c r="M32" s="15">
        <f>SUMIF('06.08'!$B$4:$B$11,A32,'06.08'!$C$4:$C$11)+SUMIF('06.08'!$D$4:$D$11,A32,'06.08'!$E$4:$E$11)+SUMIF('06.08'!$F$4:$F$11,A32,'06.08'!$G$4:$G$11)+SUMIF('06.08'!$H$4:$H$11,A32,'06.08'!$I$4:$I$11)+SUMIF('06.08'!$J$4:$J$11,A32,'06.08'!$K$4:$K$11)+SUMIF('06.08'!$L$4:$L$11,A32,'06.08'!$M$4:$M$11)+SUMIF('06.08'!$N$4:$N$11,A32,'06.08'!$O$4:$O$11)</f>
        <v>0</v>
      </c>
      <c r="N32" s="15">
        <f>SUMIF('07.08'!$B$4:$B$11,A32,'07.08'!$C$4:$C$11)+SUMIF('07.08'!$D$4:$D$11,A32,'07.08'!$E$4:$E$11)+SUMIF('07.08'!$F$4:$F$11,A32,'07.08'!$G$4:$G$11)+SUMIF('07.08'!$H$4:$H$11,A32,'07.08'!$I$4:$I$11)+SUMIF('07.08'!$J$4:$J$11,A32,'07.08'!$K$4:$K$11)+SUMIF('07.08'!$L$4:$L$11,A32,'07.08'!$M$4:$M$11)+SUMIF('07.08'!$N$4:$N$11,A32,'07.08'!$O$4:$O$11)</f>
        <v>0</v>
      </c>
      <c r="O32" s="15">
        <f>SUMIF('08.08'!$B$4:$B$11,A32,'08.08'!$C$4:$C$11)+SUMIF('08.08'!$D$4:$D$11,A32,'08.08'!$E$4:$E$11)+SUMIF('08.08'!$F$4:$F$11,A32,'08.08'!$G$4:$G$11)+SUMIF('08.08'!$H$4:$H$11,A32,'08.08'!$I$4:$I$11)+SUMIF('08.08'!$J$4:$J$11,A32,'08.08'!$K$4:$K$11)+SUMIF('08.08'!$L$4:$L$11,A32,'08.08'!$M$4:$M$11)+SUMIF('08.08'!$N$4:$N$11,A32,'08.08'!$O$4:$O$11)</f>
        <v>0</v>
      </c>
      <c r="P32" s="15">
        <f>SUMIF('09.08'!$B$4:$B$11,A32,'09.08'!$C$4:$C$11)+SUMIF('09.08'!$D$4:$D$11,A32,'09.08'!$E$4:$E$11)+SUMIF('09.08'!$F$4:$F$11,A32,'09.08'!$G$4:$G$11)+SUMIF('09.08'!$H$4:$H$11,A32,'09.08'!$I$4:$I$11)+SUMIF('09.08'!$J$4:$J$11,A32,'09.08'!$K$4:$K$11)+SUMIF('09.08'!$L$4:$L$11,A32,'09.08'!$M$4:$M$11)+SUMIF('09.08'!$N$4:$N$11,A32,'09.08'!$O$4:$O$11)</f>
        <v>0</v>
      </c>
      <c r="Q32" s="15">
        <f>SUMIF('10.08'!$B$4:$B$11,A32,'10.08'!$C$4:$C$11)+SUMIF('10.08'!$D$4:$D$11,A32,'10.08'!$E$4:$E$11)+SUMIF('10.08'!$F$4:$F$11,A32,'10.08'!$G$4:$G$11)+SUMIF('10.08'!$H$4:$H$11,A32,'10.08'!$I$4:$I$11)+SUMIF('10.08'!$J$4:$J$11,A32,'10.08'!$K$4:$K$11)+SUMIF('10.08'!$L$4:$L$11,A32,'10.08'!$M$4:$M$11)+SUMIF('10.08'!$N$4:$N$11,A32,'10.08'!$O$4:$O$11)</f>
        <v>0</v>
      </c>
      <c r="R32" s="16" t="str">
        <f t="shared" si="4"/>
        <v>#N/A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</row>
    <row r="33">
      <c r="A33" s="10" t="str">
        <f>'список продуктов'!A41</f>
        <v>Разрыхлитель</v>
      </c>
      <c r="B33" s="10" t="str">
        <f>'список продуктов'!B41</f>
        <v>пачка</v>
      </c>
      <c r="C33" s="10" t="str">
        <f>'список продуктов'!C41</f>
        <v/>
      </c>
      <c r="D33" s="10" t="str">
        <f>'список продуктов'!D41</f>
        <v/>
      </c>
      <c r="E33" s="10" t="str">
        <f>'список продуктов'!E41</f>
        <v>Долгосрочный</v>
      </c>
      <c r="F33" s="17" t="str">
        <f t="shared" si="5"/>
        <v>#N/A</v>
      </c>
      <c r="G33" s="18" t="str">
        <f t="shared" si="6"/>
        <v>Введите занчения</v>
      </c>
      <c r="H33" s="19" t="str">
        <f t="shared" si="3"/>
        <v>Введите занчения</v>
      </c>
      <c r="I33" s="14">
        <f>SUMIF('02.08'!$B$4:$B$11,A33,'02.08'!$C$4:$C$11)+SUMIF('02.08'!$D$4:$D$11,A33,'02.08'!$E$4:$E$11)+SUMIF('02.08'!$F$4:$F$11,A33,'02.08'!$G$4:$G$11)+SUMIF('02.08'!$H$4:$H$11,A33,'02.08'!$I$4:$I$11)+SUMIF('02.08'!$J$4:$J$11,A33,'02.08'!$K$4:$K$11)+SUMIF('02.08'!$L$4:$L$11,A33,'02.08'!$M$4:$M$11)+SUMIF('02.08'!$N$4:$N$11,A33,'02.08'!$O$4:$O$11)</f>
        <v>0</v>
      </c>
      <c r="J33" s="15">
        <f>SUMIF('03.08'!$B$4:$B$11,A33,'03.08'!$C$4:$C$11)+SUMIF('03.08'!$D$4:$D$11,A33,'03.08'!$E$4:$E$11)+SUMIF('03.08'!$F$4:$F$11,A33,'03.08'!$G$4:$G$11)+SUMIF('03.08'!$H$4:$H$11,A33,'03.08'!$I$4:$I$11)+SUMIF('03.08'!$J$4:$J$11,A33,'03.08'!$K$4:$K$11)+SUMIF('03.08'!$L$4:$L$11,A33,'03.08'!$M$4:$M$11)+SUMIF('03.08'!$N$4:$N$11,A33,'03.08'!$O$4:$O$11)</f>
        <v>0</v>
      </c>
      <c r="K33" s="15">
        <f>SUMIF('04.08'!$B$4:$B$11,A33,'04.08'!$C$4:$C$11)+SUMIF('04.08'!$D$4:$D$11,A33,'04.08'!$E$4:$E$11)+SUMIF('04.08'!$F$4:$F$11,A33,'04.08'!$G$4:$G$11)+SUMIF('04.08'!$H$4:$H$11,A33,'04.08'!$I$4:$I$11)+SUMIF('04.08'!$J$4:$J$11,A33,'04.08'!$K$4:$K$11)+SUMIF('04.08'!$L$4:$L$11,A33,'04.08'!$M$4:$M$11)+SUMIF('04.08'!$N$4:$N$11,A33,'04.08'!$O$4:$O$11)</f>
        <v>0</v>
      </c>
      <c r="L33" s="15">
        <f>SUMIF('05.08'!$B$4:$B$11,A33,'05.08'!$C$4:$C$11)+SUMIF('05.08'!$D$4:$D$11,A33,'05.08'!$E$4:$E$11)+SUMIF('05.08'!$F$4:$F$11,A33,'05.08'!$G$4:$G$11)+SUMIF('05.08'!$H$4:$H$11,A33,'05.08'!$I$4:$I$11)+SUMIF('05.08'!$J$4:$J$11,A33,'05.08'!$K$4:$K$11)+SUMIF('05.08'!$L$4:$L$11,A33,'05.08'!$M$4:$M$11)+SUMIF('05.08'!$N$4:$N$11,A33,'05.08'!$O$4:$O$11)</f>
        <v>0</v>
      </c>
      <c r="M33" s="15">
        <f>SUMIF('06.08'!$B$4:$B$11,A33,'06.08'!$C$4:$C$11)+SUMIF('06.08'!$D$4:$D$11,A33,'06.08'!$E$4:$E$11)+SUMIF('06.08'!$F$4:$F$11,A33,'06.08'!$G$4:$G$11)+SUMIF('06.08'!$H$4:$H$11,A33,'06.08'!$I$4:$I$11)+SUMIF('06.08'!$J$4:$J$11,A33,'06.08'!$K$4:$K$11)+SUMIF('06.08'!$L$4:$L$11,A33,'06.08'!$M$4:$M$11)+SUMIF('06.08'!$N$4:$N$11,A33,'06.08'!$O$4:$O$11)</f>
        <v>0</v>
      </c>
      <c r="N33" s="15">
        <f>SUMIF('07.08'!$B$4:$B$11,A33,'07.08'!$C$4:$C$11)+SUMIF('07.08'!$D$4:$D$11,A33,'07.08'!$E$4:$E$11)+SUMIF('07.08'!$F$4:$F$11,A33,'07.08'!$G$4:$G$11)+SUMIF('07.08'!$H$4:$H$11,A33,'07.08'!$I$4:$I$11)+SUMIF('07.08'!$J$4:$J$11,A33,'07.08'!$K$4:$K$11)+SUMIF('07.08'!$L$4:$L$11,A33,'07.08'!$M$4:$M$11)+SUMIF('07.08'!$N$4:$N$11,A33,'07.08'!$O$4:$O$11)</f>
        <v>0</v>
      </c>
      <c r="O33" s="15">
        <f>SUMIF('08.08'!$B$4:$B$11,A33,'08.08'!$C$4:$C$11)+SUMIF('08.08'!$D$4:$D$11,A33,'08.08'!$E$4:$E$11)+SUMIF('08.08'!$F$4:$F$11,A33,'08.08'!$G$4:$G$11)+SUMIF('08.08'!$H$4:$H$11,A33,'08.08'!$I$4:$I$11)+SUMIF('08.08'!$J$4:$J$11,A33,'08.08'!$K$4:$K$11)+SUMIF('08.08'!$L$4:$L$11,A33,'08.08'!$M$4:$M$11)+SUMIF('08.08'!$N$4:$N$11,A33,'08.08'!$O$4:$O$11)</f>
        <v>0</v>
      </c>
      <c r="P33" s="15">
        <f>SUMIF('09.08'!$B$4:$B$11,A33,'09.08'!$C$4:$C$11)+SUMIF('09.08'!$D$4:$D$11,A33,'09.08'!$E$4:$E$11)+SUMIF('09.08'!$F$4:$F$11,A33,'09.08'!$G$4:$G$11)+SUMIF('09.08'!$H$4:$H$11,A33,'09.08'!$I$4:$I$11)+SUMIF('09.08'!$J$4:$J$11,A33,'09.08'!$K$4:$K$11)+SUMIF('09.08'!$L$4:$L$11,A33,'09.08'!$M$4:$M$11)+SUMIF('09.08'!$N$4:$N$11,A33,'09.08'!$O$4:$O$11)</f>
        <v>0</v>
      </c>
      <c r="Q33" s="15">
        <f>SUMIF('10.08'!$B$4:$B$11,A33,'10.08'!$C$4:$C$11)+SUMIF('10.08'!$D$4:$D$11,A33,'10.08'!$E$4:$E$11)+SUMIF('10.08'!$F$4:$F$11,A33,'10.08'!$G$4:$G$11)+SUMIF('10.08'!$H$4:$H$11,A33,'10.08'!$I$4:$I$11)+SUMIF('10.08'!$J$4:$J$11,A33,'10.08'!$K$4:$K$11)+SUMIF('10.08'!$L$4:$L$11,A33,'10.08'!$M$4:$M$11)+SUMIF('10.08'!$N$4:$N$11,A33,'10.08'!$O$4:$O$11)</f>
        <v>0</v>
      </c>
      <c r="R33" s="16" t="str">
        <f t="shared" si="4"/>
        <v>#N/A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>
      <c r="A34" s="10" t="str">
        <f>'список продуктов'!A42</f>
        <v>Редис</v>
      </c>
      <c r="B34" s="10" t="str">
        <f>'список продуктов'!B42</f>
        <v>кг</v>
      </c>
      <c r="C34" s="10">
        <f>'список продуктов'!C42</f>
        <v>500</v>
      </c>
      <c r="D34" s="10" t="str">
        <f>'список продуктов'!D42</f>
        <v/>
      </c>
      <c r="E34" s="10" t="str">
        <f>'список продуктов'!E42</f>
        <v>Краткосрочный</v>
      </c>
      <c r="F34" s="17" t="str">
        <f t="shared" si="5"/>
        <v>#N/A</v>
      </c>
      <c r="G34" s="18" t="str">
        <f t="shared" si="6"/>
        <v>Введите занчения</v>
      </c>
      <c r="H34" s="19" t="str">
        <f t="shared" si="3"/>
        <v>Введите занчения</v>
      </c>
      <c r="I34" s="14">
        <f>SUMIF('02.08'!$B$4:$B$11,A34,'02.08'!$C$4:$C$11)+SUMIF('02.08'!$D$4:$D$11,A34,'02.08'!$E$4:$E$11)+SUMIF('02.08'!$F$4:$F$11,A34,'02.08'!$G$4:$G$11)+SUMIF('02.08'!$H$4:$H$11,A34,'02.08'!$I$4:$I$11)+SUMIF('02.08'!$J$4:$J$11,A34,'02.08'!$K$4:$K$11)+SUMIF('02.08'!$L$4:$L$11,A34,'02.08'!$M$4:$M$11)+SUMIF('02.08'!$N$4:$N$11,A34,'02.08'!$O$4:$O$11)</f>
        <v>0</v>
      </c>
      <c r="J34" s="15">
        <f>SUMIF('03.08'!$B$4:$B$11,A34,'03.08'!$C$4:$C$11)+SUMIF('03.08'!$D$4:$D$11,A34,'03.08'!$E$4:$E$11)+SUMIF('03.08'!$F$4:$F$11,A34,'03.08'!$G$4:$G$11)+SUMIF('03.08'!$H$4:$H$11,A34,'03.08'!$I$4:$I$11)+SUMIF('03.08'!$J$4:$J$11,A34,'03.08'!$K$4:$K$11)+SUMIF('03.08'!$L$4:$L$11,A34,'03.08'!$M$4:$M$11)+SUMIF('03.08'!$N$4:$N$11,A34,'03.08'!$O$4:$O$11)</f>
        <v>0</v>
      </c>
      <c r="K34" s="15">
        <f>SUMIF('04.08'!$B$4:$B$11,A34,'04.08'!$C$4:$C$11)+SUMIF('04.08'!$D$4:$D$11,A34,'04.08'!$E$4:$E$11)+SUMIF('04.08'!$F$4:$F$11,A34,'04.08'!$G$4:$G$11)+SUMIF('04.08'!$H$4:$H$11,A34,'04.08'!$I$4:$I$11)+SUMIF('04.08'!$J$4:$J$11,A34,'04.08'!$K$4:$K$11)+SUMIF('04.08'!$L$4:$L$11,A34,'04.08'!$M$4:$M$11)+SUMIF('04.08'!$N$4:$N$11,A34,'04.08'!$O$4:$O$11)</f>
        <v>0</v>
      </c>
      <c r="L34" s="15">
        <f>SUMIF('05.08'!$B$4:$B$11,A34,'05.08'!$C$4:$C$11)+SUMIF('05.08'!$D$4:$D$11,A34,'05.08'!$E$4:$E$11)+SUMIF('05.08'!$F$4:$F$11,A34,'05.08'!$G$4:$G$11)+SUMIF('05.08'!$H$4:$H$11,A34,'05.08'!$I$4:$I$11)+SUMIF('05.08'!$J$4:$J$11,A34,'05.08'!$K$4:$K$11)+SUMIF('05.08'!$L$4:$L$11,A34,'05.08'!$M$4:$M$11)+SUMIF('05.08'!$N$4:$N$11,A34,'05.08'!$O$4:$O$11)</f>
        <v>0</v>
      </c>
      <c r="M34" s="15">
        <f>SUMIF('06.08'!$B$4:$B$11,A34,'06.08'!$C$4:$C$11)+SUMIF('06.08'!$D$4:$D$11,A34,'06.08'!$E$4:$E$11)+SUMIF('06.08'!$F$4:$F$11,A34,'06.08'!$G$4:$G$11)+SUMIF('06.08'!$H$4:$H$11,A34,'06.08'!$I$4:$I$11)+SUMIF('06.08'!$J$4:$J$11,A34,'06.08'!$K$4:$K$11)+SUMIF('06.08'!$L$4:$L$11,A34,'06.08'!$M$4:$M$11)+SUMIF('06.08'!$N$4:$N$11,A34,'06.08'!$O$4:$O$11)</f>
        <v>0</v>
      </c>
      <c r="N34" s="15">
        <f>SUMIF('07.08'!$B$4:$B$11,A34,'07.08'!$C$4:$C$11)+SUMIF('07.08'!$D$4:$D$11,A34,'07.08'!$E$4:$E$11)+SUMIF('07.08'!$F$4:$F$11,A34,'07.08'!$G$4:$G$11)+SUMIF('07.08'!$H$4:$H$11,A34,'07.08'!$I$4:$I$11)+SUMIF('07.08'!$J$4:$J$11,A34,'07.08'!$K$4:$K$11)+SUMIF('07.08'!$L$4:$L$11,A34,'07.08'!$M$4:$M$11)+SUMIF('07.08'!$N$4:$N$11,A34,'07.08'!$O$4:$O$11)</f>
        <v>0</v>
      </c>
      <c r="O34" s="15">
        <f>SUMIF('08.08'!$B$4:$B$11,A34,'08.08'!$C$4:$C$11)+SUMIF('08.08'!$D$4:$D$11,A34,'08.08'!$E$4:$E$11)+SUMIF('08.08'!$F$4:$F$11,A34,'08.08'!$G$4:$G$11)+SUMIF('08.08'!$H$4:$H$11,A34,'08.08'!$I$4:$I$11)+SUMIF('08.08'!$J$4:$J$11,A34,'08.08'!$K$4:$K$11)+SUMIF('08.08'!$L$4:$L$11,A34,'08.08'!$M$4:$M$11)+SUMIF('08.08'!$N$4:$N$11,A34,'08.08'!$O$4:$O$11)</f>
        <v>0</v>
      </c>
      <c r="P34" s="15">
        <f>SUMIF('09.08'!$B$4:$B$11,A34,'09.08'!$C$4:$C$11)+SUMIF('09.08'!$D$4:$D$11,A34,'09.08'!$E$4:$E$11)+SUMIF('09.08'!$F$4:$F$11,A34,'09.08'!$G$4:$G$11)+SUMIF('09.08'!$H$4:$H$11,A34,'09.08'!$I$4:$I$11)+SUMIF('09.08'!$J$4:$J$11,A34,'09.08'!$K$4:$K$11)+SUMIF('09.08'!$L$4:$L$11,A34,'09.08'!$M$4:$M$11)+SUMIF('09.08'!$N$4:$N$11,A34,'09.08'!$O$4:$O$11)</f>
        <v>0</v>
      </c>
      <c r="Q34" s="15">
        <f>SUMIF('10.08'!$B$4:$B$11,A34,'10.08'!$C$4:$C$11)+SUMIF('10.08'!$D$4:$D$11,A34,'10.08'!$E$4:$E$11)+SUMIF('10.08'!$F$4:$F$11,A34,'10.08'!$G$4:$G$11)+SUMIF('10.08'!$H$4:$H$11,A34,'10.08'!$I$4:$I$11)+SUMIF('10.08'!$J$4:$J$11,A34,'10.08'!$K$4:$K$11)+SUMIF('10.08'!$L$4:$L$11,A34,'10.08'!$M$4:$M$11)+SUMIF('10.08'!$N$4:$N$11,A34,'10.08'!$O$4:$O$11)</f>
        <v>0</v>
      </c>
      <c r="R34" s="16" t="str">
        <f t="shared" si="4"/>
        <v>#N/A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>
      <c r="A35" s="10" t="str">
        <f>'список продуктов'!A43</f>
        <v>Рис</v>
      </c>
      <c r="B35" s="10" t="str">
        <f>'список продуктов'!B43</f>
        <v>пачка</v>
      </c>
      <c r="C35" s="10" t="str">
        <f>'список продуктов'!C43</f>
        <v/>
      </c>
      <c r="D35" s="10" t="str">
        <f>'список продуктов'!D43</f>
        <v/>
      </c>
      <c r="E35" s="10" t="str">
        <f>'список продуктов'!E43</f>
        <v>Долгосрочный</v>
      </c>
      <c r="F35" s="17" t="str">
        <f t="shared" si="5"/>
        <v>#N/A</v>
      </c>
      <c r="G35" s="18" t="str">
        <f t="shared" si="6"/>
        <v>Введите занчения</v>
      </c>
      <c r="H35" s="19" t="str">
        <f t="shared" si="3"/>
        <v>Введите занчения</v>
      </c>
      <c r="I35" s="14">
        <f>SUMIF('02.08'!$B$4:$B$11,A35,'02.08'!$C$4:$C$11)+SUMIF('02.08'!$D$4:$D$11,A35,'02.08'!$E$4:$E$11)+SUMIF('02.08'!$F$4:$F$11,A35,'02.08'!$G$4:$G$11)+SUMIF('02.08'!$H$4:$H$11,A35,'02.08'!$I$4:$I$11)+SUMIF('02.08'!$J$4:$J$11,A35,'02.08'!$K$4:$K$11)+SUMIF('02.08'!$L$4:$L$11,A35,'02.08'!$M$4:$M$11)+SUMIF('02.08'!$N$4:$N$11,A35,'02.08'!$O$4:$O$11)</f>
        <v>0</v>
      </c>
      <c r="J35" s="15">
        <f>SUMIF('03.08'!$B$4:$B$11,A35,'03.08'!$C$4:$C$11)+SUMIF('03.08'!$D$4:$D$11,A35,'03.08'!$E$4:$E$11)+SUMIF('03.08'!$F$4:$F$11,A35,'03.08'!$G$4:$G$11)+SUMIF('03.08'!$H$4:$H$11,A35,'03.08'!$I$4:$I$11)+SUMIF('03.08'!$J$4:$J$11,A35,'03.08'!$K$4:$K$11)+SUMIF('03.08'!$L$4:$L$11,A35,'03.08'!$M$4:$M$11)+SUMIF('03.08'!$N$4:$N$11,A35,'03.08'!$O$4:$O$11)</f>
        <v>0</v>
      </c>
      <c r="K35" s="15">
        <f>SUMIF('04.08'!$B$4:$B$11,A35,'04.08'!$C$4:$C$11)+SUMIF('04.08'!$D$4:$D$11,A35,'04.08'!$E$4:$E$11)+SUMIF('04.08'!$F$4:$F$11,A35,'04.08'!$G$4:$G$11)+SUMIF('04.08'!$H$4:$H$11,A35,'04.08'!$I$4:$I$11)+SUMIF('04.08'!$J$4:$J$11,A35,'04.08'!$K$4:$K$11)+SUMIF('04.08'!$L$4:$L$11,A35,'04.08'!$M$4:$M$11)+SUMIF('04.08'!$N$4:$N$11,A35,'04.08'!$O$4:$O$11)</f>
        <v>0</v>
      </c>
      <c r="L35" s="15">
        <f>SUMIF('05.08'!$B$4:$B$11,A35,'05.08'!$C$4:$C$11)+SUMIF('05.08'!$D$4:$D$11,A35,'05.08'!$E$4:$E$11)+SUMIF('05.08'!$F$4:$F$11,A35,'05.08'!$G$4:$G$11)+SUMIF('05.08'!$H$4:$H$11,A35,'05.08'!$I$4:$I$11)+SUMIF('05.08'!$J$4:$J$11,A35,'05.08'!$K$4:$K$11)+SUMIF('05.08'!$L$4:$L$11,A35,'05.08'!$M$4:$M$11)+SUMIF('05.08'!$N$4:$N$11,A35,'05.08'!$O$4:$O$11)</f>
        <v>0</v>
      </c>
      <c r="M35" s="15">
        <f>SUMIF('06.08'!$B$4:$B$11,A35,'06.08'!$C$4:$C$11)+SUMIF('06.08'!$D$4:$D$11,A35,'06.08'!$E$4:$E$11)+SUMIF('06.08'!$F$4:$F$11,A35,'06.08'!$G$4:$G$11)+SUMIF('06.08'!$H$4:$H$11,A35,'06.08'!$I$4:$I$11)+SUMIF('06.08'!$J$4:$J$11,A35,'06.08'!$K$4:$K$11)+SUMIF('06.08'!$L$4:$L$11,A35,'06.08'!$M$4:$M$11)+SUMIF('06.08'!$N$4:$N$11,A35,'06.08'!$O$4:$O$11)</f>
        <v>0</v>
      </c>
      <c r="N35" s="15">
        <f>SUMIF('07.08'!$B$4:$B$11,A35,'07.08'!$C$4:$C$11)+SUMIF('07.08'!$D$4:$D$11,A35,'07.08'!$E$4:$E$11)+SUMIF('07.08'!$F$4:$F$11,A35,'07.08'!$G$4:$G$11)+SUMIF('07.08'!$H$4:$H$11,A35,'07.08'!$I$4:$I$11)+SUMIF('07.08'!$J$4:$J$11,A35,'07.08'!$K$4:$K$11)+SUMIF('07.08'!$L$4:$L$11,A35,'07.08'!$M$4:$M$11)+SUMIF('07.08'!$N$4:$N$11,A35,'07.08'!$O$4:$O$11)</f>
        <v>0</v>
      </c>
      <c r="O35" s="15">
        <f>SUMIF('08.08'!$B$4:$B$11,A35,'08.08'!$C$4:$C$11)+SUMIF('08.08'!$D$4:$D$11,A35,'08.08'!$E$4:$E$11)+SUMIF('08.08'!$F$4:$F$11,A35,'08.08'!$G$4:$G$11)+SUMIF('08.08'!$H$4:$H$11,A35,'08.08'!$I$4:$I$11)+SUMIF('08.08'!$J$4:$J$11,A35,'08.08'!$K$4:$K$11)+SUMIF('08.08'!$L$4:$L$11,A35,'08.08'!$M$4:$M$11)+SUMIF('08.08'!$N$4:$N$11,A35,'08.08'!$O$4:$O$11)</f>
        <v>0</v>
      </c>
      <c r="P35" s="15">
        <f>SUMIF('09.08'!$B$4:$B$11,A35,'09.08'!$C$4:$C$11)+SUMIF('09.08'!$D$4:$D$11,A35,'09.08'!$E$4:$E$11)+SUMIF('09.08'!$F$4:$F$11,A35,'09.08'!$G$4:$G$11)+SUMIF('09.08'!$H$4:$H$11,A35,'09.08'!$I$4:$I$11)+SUMIF('09.08'!$J$4:$J$11,A35,'09.08'!$K$4:$K$11)+SUMIF('09.08'!$L$4:$L$11,A35,'09.08'!$M$4:$M$11)+SUMIF('09.08'!$N$4:$N$11,A35,'09.08'!$O$4:$O$11)</f>
        <v>0</v>
      </c>
      <c r="Q35" s="15">
        <f>SUMIF('10.08'!$B$4:$B$11,A35,'10.08'!$C$4:$C$11)+SUMIF('10.08'!$D$4:$D$11,A35,'10.08'!$E$4:$E$11)+SUMIF('10.08'!$F$4:$F$11,A35,'10.08'!$G$4:$G$11)+SUMIF('10.08'!$H$4:$H$11,A35,'10.08'!$I$4:$I$11)+SUMIF('10.08'!$J$4:$J$11,A35,'10.08'!$K$4:$K$11)+SUMIF('10.08'!$L$4:$L$11,A35,'10.08'!$M$4:$M$11)+SUMIF('10.08'!$N$4:$N$11,A35,'10.08'!$O$4:$O$11)</f>
        <v>0</v>
      </c>
      <c r="R35" s="16" t="str">
        <f t="shared" si="4"/>
        <v>#N/A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>
      <c r="A36" s="10" t="str">
        <f>'список продуктов'!A44</f>
        <v>Сахар</v>
      </c>
      <c r="B36" s="10" t="str">
        <f>'список продуктов'!B44</f>
        <v>кг</v>
      </c>
      <c r="C36" s="10">
        <f>'список продуктов'!C44</f>
        <v>1000</v>
      </c>
      <c r="D36" s="10" t="str">
        <f>'список продуктов'!D44</f>
        <v/>
      </c>
      <c r="E36" s="10" t="str">
        <f>'список продуктов'!E44</f>
        <v>Долгосрочный</v>
      </c>
      <c r="F36" s="21" t="str">
        <f t="shared" si="5"/>
        <v>#N/A</v>
      </c>
      <c r="G36" s="22" t="str">
        <f t="shared" si="6"/>
        <v>Введите занчения</v>
      </c>
      <c r="H36" s="19" t="str">
        <f t="shared" si="3"/>
        <v>Введите занчения</v>
      </c>
      <c r="I36" s="14">
        <f>SUMIF('02.08'!$B$4:$B$11,A36,'02.08'!$C$4:$C$11)+SUMIF('02.08'!$D$4:$D$11,A36,'02.08'!$E$4:$E$11)+SUMIF('02.08'!$F$4:$F$11,A36,'02.08'!$G$4:$G$11)+SUMIF('02.08'!$H$4:$H$11,A36,'02.08'!$I$4:$I$11)+SUMIF('02.08'!$J$4:$J$11,A36,'02.08'!$K$4:$K$11)+SUMIF('02.08'!$L$4:$L$11,A36,'02.08'!$M$4:$M$11)+SUMIF('02.08'!$N$4:$N$11,A36,'02.08'!$O$4:$O$11)</f>
        <v>0</v>
      </c>
      <c r="J36" s="15">
        <f>SUMIF('03.08'!$B$4:$B$11,A36,'03.08'!$C$4:$C$11)+SUMIF('03.08'!$D$4:$D$11,A36,'03.08'!$E$4:$E$11)+SUMIF('03.08'!$F$4:$F$11,A36,'03.08'!$G$4:$G$11)+SUMIF('03.08'!$H$4:$H$11,A36,'03.08'!$I$4:$I$11)+SUMIF('03.08'!$J$4:$J$11,A36,'03.08'!$K$4:$K$11)+SUMIF('03.08'!$L$4:$L$11,A36,'03.08'!$M$4:$M$11)+SUMIF('03.08'!$N$4:$N$11,A36,'03.08'!$O$4:$O$11)</f>
        <v>0</v>
      </c>
      <c r="K36" s="15">
        <f>SUMIF('04.08'!$B$4:$B$11,A36,'04.08'!$C$4:$C$11)+SUMIF('04.08'!$D$4:$D$11,A36,'04.08'!$E$4:$E$11)+SUMIF('04.08'!$F$4:$F$11,A36,'04.08'!$G$4:$G$11)+SUMIF('04.08'!$H$4:$H$11,A36,'04.08'!$I$4:$I$11)+SUMIF('04.08'!$J$4:$J$11,A36,'04.08'!$K$4:$K$11)+SUMIF('04.08'!$L$4:$L$11,A36,'04.08'!$M$4:$M$11)+SUMIF('04.08'!$N$4:$N$11,A36,'04.08'!$O$4:$O$11)</f>
        <v>0</v>
      </c>
      <c r="L36" s="15">
        <f>SUMIF('05.08'!$B$4:$B$11,A36,'05.08'!$C$4:$C$11)+SUMIF('05.08'!$D$4:$D$11,A36,'05.08'!$E$4:$E$11)+SUMIF('05.08'!$F$4:$F$11,A36,'05.08'!$G$4:$G$11)+SUMIF('05.08'!$H$4:$H$11,A36,'05.08'!$I$4:$I$11)+SUMIF('05.08'!$J$4:$J$11,A36,'05.08'!$K$4:$K$11)+SUMIF('05.08'!$L$4:$L$11,A36,'05.08'!$M$4:$M$11)+SUMIF('05.08'!$N$4:$N$11,A36,'05.08'!$O$4:$O$11)</f>
        <v>0</v>
      </c>
      <c r="M36" s="15">
        <f>SUMIF('06.08'!$B$4:$B$11,A36,'06.08'!$C$4:$C$11)+SUMIF('06.08'!$D$4:$D$11,A36,'06.08'!$E$4:$E$11)+SUMIF('06.08'!$F$4:$F$11,A36,'06.08'!$G$4:$G$11)+SUMIF('06.08'!$H$4:$H$11,A36,'06.08'!$I$4:$I$11)+SUMIF('06.08'!$J$4:$J$11,A36,'06.08'!$K$4:$K$11)+SUMIF('06.08'!$L$4:$L$11,A36,'06.08'!$M$4:$M$11)+SUMIF('06.08'!$N$4:$N$11,A36,'06.08'!$O$4:$O$11)</f>
        <v>0</v>
      </c>
      <c r="N36" s="15">
        <f>SUMIF('07.08'!$B$4:$B$11,A36,'07.08'!$C$4:$C$11)+SUMIF('07.08'!$D$4:$D$11,A36,'07.08'!$E$4:$E$11)+SUMIF('07.08'!$F$4:$F$11,A36,'07.08'!$G$4:$G$11)+SUMIF('07.08'!$H$4:$H$11,A36,'07.08'!$I$4:$I$11)+SUMIF('07.08'!$J$4:$J$11,A36,'07.08'!$K$4:$K$11)+SUMIF('07.08'!$L$4:$L$11,A36,'07.08'!$M$4:$M$11)+SUMIF('07.08'!$N$4:$N$11,A36,'07.08'!$O$4:$O$11)</f>
        <v>0</v>
      </c>
      <c r="O36" s="15">
        <f>SUMIF('08.08'!$B$4:$B$11,A36,'08.08'!$C$4:$C$11)+SUMIF('08.08'!$D$4:$D$11,A36,'08.08'!$E$4:$E$11)+SUMIF('08.08'!$F$4:$F$11,A36,'08.08'!$G$4:$G$11)+SUMIF('08.08'!$H$4:$H$11,A36,'08.08'!$I$4:$I$11)+SUMIF('08.08'!$J$4:$J$11,A36,'08.08'!$K$4:$K$11)+SUMIF('08.08'!$L$4:$L$11,A36,'08.08'!$M$4:$M$11)+SUMIF('08.08'!$N$4:$N$11,A36,'08.08'!$O$4:$O$11)</f>
        <v>0</v>
      </c>
      <c r="P36" s="15">
        <f>SUMIF('09.08'!$B$4:$B$11,A36,'09.08'!$C$4:$C$11)+SUMIF('09.08'!$D$4:$D$11,A36,'09.08'!$E$4:$E$11)+SUMIF('09.08'!$F$4:$F$11,A36,'09.08'!$G$4:$G$11)+SUMIF('09.08'!$H$4:$H$11,A36,'09.08'!$I$4:$I$11)+SUMIF('09.08'!$J$4:$J$11,A36,'09.08'!$K$4:$K$11)+SUMIF('09.08'!$L$4:$L$11,A36,'09.08'!$M$4:$M$11)+SUMIF('09.08'!$N$4:$N$11,A36,'09.08'!$O$4:$O$11)</f>
        <v>0</v>
      </c>
      <c r="Q36" s="15">
        <f>SUMIF('10.08'!$B$4:$B$11,A36,'10.08'!$C$4:$C$11)+SUMIF('10.08'!$D$4:$D$11,A36,'10.08'!$E$4:$E$11)+SUMIF('10.08'!$F$4:$F$11,A36,'10.08'!$G$4:$G$11)+SUMIF('10.08'!$H$4:$H$11,A36,'10.08'!$I$4:$I$11)+SUMIF('10.08'!$J$4:$J$11,A36,'10.08'!$K$4:$K$11)+SUMIF('10.08'!$L$4:$L$11,A36,'10.08'!$M$4:$M$11)+SUMIF('10.08'!$N$4:$N$11,A36,'10.08'!$O$4:$O$11)</f>
        <v>0</v>
      </c>
      <c r="R36" s="16" t="str">
        <f t="shared" si="4"/>
        <v>#N/A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</row>
    <row r="37">
      <c r="A37" s="10" t="str">
        <f>'список продуктов'!A45</f>
        <v>Сгущёнка</v>
      </c>
      <c r="B37" s="10" t="str">
        <f>'список продуктов'!B45</f>
        <v>кг</v>
      </c>
      <c r="C37" s="10" t="str">
        <f>'список продуктов'!C45</f>
        <v/>
      </c>
      <c r="D37" s="10" t="str">
        <f>'список продуктов'!D45</f>
        <v/>
      </c>
      <c r="E37" s="10" t="str">
        <f>'список продуктов'!E45</f>
        <v>Долгосрочный</v>
      </c>
      <c r="F37" s="17" t="str">
        <f t="shared" si="5"/>
        <v>#N/A</v>
      </c>
      <c r="G37" s="18" t="str">
        <f t="shared" si="6"/>
        <v>Введите занчения</v>
      </c>
      <c r="H37" s="19" t="str">
        <f t="shared" si="3"/>
        <v>Введите занчения</v>
      </c>
      <c r="I37" s="14">
        <f>SUMIF('02.08'!$B$4:$B$11,A37,'02.08'!$C$4:$C$11)+SUMIF('02.08'!$D$4:$D$11,A37,'02.08'!$E$4:$E$11)+SUMIF('02.08'!$F$4:$F$11,A37,'02.08'!$G$4:$G$11)+SUMIF('02.08'!$H$4:$H$11,A37,'02.08'!$I$4:$I$11)+SUMIF('02.08'!$J$4:$J$11,A37,'02.08'!$K$4:$K$11)+SUMIF('02.08'!$L$4:$L$11,A37,'02.08'!$M$4:$M$11)+SUMIF('02.08'!$N$4:$N$11,A37,'02.08'!$O$4:$O$11)</f>
        <v>0</v>
      </c>
      <c r="J37" s="15">
        <f>SUMIF('03.08'!$B$4:$B$11,A37,'03.08'!$C$4:$C$11)+SUMIF('03.08'!$D$4:$D$11,A37,'03.08'!$E$4:$E$11)+SUMIF('03.08'!$F$4:$F$11,A37,'03.08'!$G$4:$G$11)+SUMIF('03.08'!$H$4:$H$11,A37,'03.08'!$I$4:$I$11)+SUMIF('03.08'!$J$4:$J$11,A37,'03.08'!$K$4:$K$11)+SUMIF('03.08'!$L$4:$L$11,A37,'03.08'!$M$4:$M$11)+SUMIF('03.08'!$N$4:$N$11,A37,'03.08'!$O$4:$O$11)</f>
        <v>0</v>
      </c>
      <c r="K37" s="15">
        <f>SUMIF('04.08'!$B$4:$B$11,A37,'04.08'!$C$4:$C$11)+SUMIF('04.08'!$D$4:$D$11,A37,'04.08'!$E$4:$E$11)+SUMIF('04.08'!$F$4:$F$11,A37,'04.08'!$G$4:$G$11)+SUMIF('04.08'!$H$4:$H$11,A37,'04.08'!$I$4:$I$11)+SUMIF('04.08'!$J$4:$J$11,A37,'04.08'!$K$4:$K$11)+SUMIF('04.08'!$L$4:$L$11,A37,'04.08'!$M$4:$M$11)+SUMIF('04.08'!$N$4:$N$11,A37,'04.08'!$O$4:$O$11)</f>
        <v>0</v>
      </c>
      <c r="L37" s="15">
        <f>SUMIF('05.08'!$B$4:$B$11,A37,'05.08'!$C$4:$C$11)+SUMIF('05.08'!$D$4:$D$11,A37,'05.08'!$E$4:$E$11)+SUMIF('05.08'!$F$4:$F$11,A37,'05.08'!$G$4:$G$11)+SUMIF('05.08'!$H$4:$H$11,A37,'05.08'!$I$4:$I$11)+SUMIF('05.08'!$J$4:$J$11,A37,'05.08'!$K$4:$K$11)+SUMIF('05.08'!$L$4:$L$11,A37,'05.08'!$M$4:$M$11)+SUMIF('05.08'!$N$4:$N$11,A37,'05.08'!$O$4:$O$11)</f>
        <v>0</v>
      </c>
      <c r="M37" s="15">
        <f>SUMIF('06.08'!$B$4:$B$11,A37,'06.08'!$C$4:$C$11)+SUMIF('06.08'!$D$4:$D$11,A37,'06.08'!$E$4:$E$11)+SUMIF('06.08'!$F$4:$F$11,A37,'06.08'!$G$4:$G$11)+SUMIF('06.08'!$H$4:$H$11,A37,'06.08'!$I$4:$I$11)+SUMIF('06.08'!$J$4:$J$11,A37,'06.08'!$K$4:$K$11)+SUMIF('06.08'!$L$4:$L$11,A37,'06.08'!$M$4:$M$11)+SUMIF('06.08'!$N$4:$N$11,A37,'06.08'!$O$4:$O$11)</f>
        <v>0</v>
      </c>
      <c r="N37" s="15">
        <f>SUMIF('07.08'!$B$4:$B$11,A37,'07.08'!$C$4:$C$11)+SUMIF('07.08'!$D$4:$D$11,A37,'07.08'!$E$4:$E$11)+SUMIF('07.08'!$F$4:$F$11,A37,'07.08'!$G$4:$G$11)+SUMIF('07.08'!$H$4:$H$11,A37,'07.08'!$I$4:$I$11)+SUMIF('07.08'!$J$4:$J$11,A37,'07.08'!$K$4:$K$11)+SUMIF('07.08'!$L$4:$L$11,A37,'07.08'!$M$4:$M$11)+SUMIF('07.08'!$N$4:$N$11,A37,'07.08'!$O$4:$O$11)</f>
        <v>0</v>
      </c>
      <c r="O37" s="15">
        <f>SUMIF('08.08'!$B$4:$B$11,A37,'08.08'!$C$4:$C$11)+SUMIF('08.08'!$D$4:$D$11,A37,'08.08'!$E$4:$E$11)+SUMIF('08.08'!$F$4:$F$11,A37,'08.08'!$G$4:$G$11)+SUMIF('08.08'!$H$4:$H$11,A37,'08.08'!$I$4:$I$11)+SUMIF('08.08'!$J$4:$J$11,A37,'08.08'!$K$4:$K$11)+SUMIF('08.08'!$L$4:$L$11,A37,'08.08'!$M$4:$M$11)+SUMIF('08.08'!$N$4:$N$11,A37,'08.08'!$O$4:$O$11)</f>
        <v>0</v>
      </c>
      <c r="P37" s="15">
        <f>SUMIF('09.08'!$B$4:$B$11,A37,'09.08'!$C$4:$C$11)+SUMIF('09.08'!$D$4:$D$11,A37,'09.08'!$E$4:$E$11)+SUMIF('09.08'!$F$4:$F$11,A37,'09.08'!$G$4:$G$11)+SUMIF('09.08'!$H$4:$H$11,A37,'09.08'!$I$4:$I$11)+SUMIF('09.08'!$J$4:$J$11,A37,'09.08'!$K$4:$K$11)+SUMIF('09.08'!$L$4:$L$11,A37,'09.08'!$M$4:$M$11)+SUMIF('09.08'!$N$4:$N$11,A37,'09.08'!$O$4:$O$11)</f>
        <v>0</v>
      </c>
      <c r="Q37" s="15">
        <f>SUMIF('10.08'!$B$4:$B$11,A37,'10.08'!$C$4:$C$11)+SUMIF('10.08'!$D$4:$D$11,A37,'10.08'!$E$4:$E$11)+SUMIF('10.08'!$F$4:$F$11,A37,'10.08'!$G$4:$G$11)+SUMIF('10.08'!$H$4:$H$11,A37,'10.08'!$I$4:$I$11)+SUMIF('10.08'!$J$4:$J$11,A37,'10.08'!$K$4:$K$11)+SUMIF('10.08'!$L$4:$L$11,A37,'10.08'!$M$4:$M$11)+SUMIF('10.08'!$N$4:$N$11,A37,'10.08'!$O$4:$O$11)</f>
        <v>0</v>
      </c>
      <c r="R37" s="16" t="str">
        <f t="shared" si="4"/>
        <v>#N/A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</row>
    <row r="38">
      <c r="A38" s="10" t="str">
        <f>'список продуктов'!A46</f>
        <v>Солёные огурцы</v>
      </c>
      <c r="B38" s="10" t="str">
        <f>'список продуктов'!B46</f>
        <v>кг</v>
      </c>
      <c r="C38" s="10" t="str">
        <f>'список продуктов'!C46</f>
        <v/>
      </c>
      <c r="D38" s="10" t="str">
        <f>'список продуктов'!D46</f>
        <v/>
      </c>
      <c r="E38" s="10" t="str">
        <f>'список продуктов'!E46</f>
        <v>Краткосрочный</v>
      </c>
      <c r="F38" s="17" t="str">
        <f t="shared" si="5"/>
        <v>#N/A</v>
      </c>
      <c r="G38" s="18" t="str">
        <f t="shared" si="6"/>
        <v>Введите занчения</v>
      </c>
      <c r="H38" s="19" t="str">
        <f t="shared" si="3"/>
        <v>Введите занчения</v>
      </c>
      <c r="I38" s="14">
        <f>SUMIF('02.08'!$B$4:$B$11,A38,'02.08'!$C$4:$C$11)+SUMIF('02.08'!$D$4:$D$11,A38,'02.08'!$E$4:$E$11)+SUMIF('02.08'!$F$4:$F$11,A38,'02.08'!$G$4:$G$11)+SUMIF('02.08'!$H$4:$H$11,A38,'02.08'!$I$4:$I$11)+SUMIF('02.08'!$J$4:$J$11,A38,'02.08'!$K$4:$K$11)+SUMIF('02.08'!$L$4:$L$11,A38,'02.08'!$M$4:$M$11)+SUMIF('02.08'!$N$4:$N$11,A38,'02.08'!$O$4:$O$11)</f>
        <v>0</v>
      </c>
      <c r="J38" s="15">
        <f>SUMIF('03.08'!$B$4:$B$11,A38,'03.08'!$C$4:$C$11)+SUMIF('03.08'!$D$4:$D$11,A38,'03.08'!$E$4:$E$11)+SUMIF('03.08'!$F$4:$F$11,A38,'03.08'!$G$4:$G$11)+SUMIF('03.08'!$H$4:$H$11,A38,'03.08'!$I$4:$I$11)+SUMIF('03.08'!$J$4:$J$11,A38,'03.08'!$K$4:$K$11)+SUMIF('03.08'!$L$4:$L$11,A38,'03.08'!$M$4:$M$11)+SUMIF('03.08'!$N$4:$N$11,A38,'03.08'!$O$4:$O$11)</f>
        <v>0</v>
      </c>
      <c r="K38" s="15">
        <f>SUMIF('04.08'!$B$4:$B$11,A38,'04.08'!$C$4:$C$11)+SUMIF('04.08'!$D$4:$D$11,A38,'04.08'!$E$4:$E$11)+SUMIF('04.08'!$F$4:$F$11,A38,'04.08'!$G$4:$G$11)+SUMIF('04.08'!$H$4:$H$11,A38,'04.08'!$I$4:$I$11)+SUMIF('04.08'!$J$4:$J$11,A38,'04.08'!$K$4:$K$11)+SUMIF('04.08'!$L$4:$L$11,A38,'04.08'!$M$4:$M$11)+SUMIF('04.08'!$N$4:$N$11,A38,'04.08'!$O$4:$O$11)</f>
        <v>0</v>
      </c>
      <c r="L38" s="15">
        <f>SUMIF('05.08'!$B$4:$B$11,A38,'05.08'!$C$4:$C$11)+SUMIF('05.08'!$D$4:$D$11,A38,'05.08'!$E$4:$E$11)+SUMIF('05.08'!$F$4:$F$11,A38,'05.08'!$G$4:$G$11)+SUMIF('05.08'!$H$4:$H$11,A38,'05.08'!$I$4:$I$11)+SUMIF('05.08'!$J$4:$J$11,A38,'05.08'!$K$4:$K$11)+SUMIF('05.08'!$L$4:$L$11,A38,'05.08'!$M$4:$M$11)+SUMIF('05.08'!$N$4:$N$11,A38,'05.08'!$O$4:$O$11)</f>
        <v>0</v>
      </c>
      <c r="M38" s="15">
        <f>SUMIF('06.08'!$B$4:$B$11,A38,'06.08'!$C$4:$C$11)+SUMIF('06.08'!$D$4:$D$11,A38,'06.08'!$E$4:$E$11)+SUMIF('06.08'!$F$4:$F$11,A38,'06.08'!$G$4:$G$11)+SUMIF('06.08'!$H$4:$H$11,A38,'06.08'!$I$4:$I$11)+SUMIF('06.08'!$J$4:$J$11,A38,'06.08'!$K$4:$K$11)+SUMIF('06.08'!$L$4:$L$11,A38,'06.08'!$M$4:$M$11)+SUMIF('06.08'!$N$4:$N$11,A38,'06.08'!$O$4:$O$11)</f>
        <v>0</v>
      </c>
      <c r="N38" s="15">
        <f>SUMIF('07.08'!$B$4:$B$11,A38,'07.08'!$C$4:$C$11)+SUMIF('07.08'!$D$4:$D$11,A38,'07.08'!$E$4:$E$11)+SUMIF('07.08'!$F$4:$F$11,A38,'07.08'!$G$4:$G$11)+SUMIF('07.08'!$H$4:$H$11,A38,'07.08'!$I$4:$I$11)+SUMIF('07.08'!$J$4:$J$11,A38,'07.08'!$K$4:$K$11)+SUMIF('07.08'!$L$4:$L$11,A38,'07.08'!$M$4:$M$11)+SUMIF('07.08'!$N$4:$N$11,A38,'07.08'!$O$4:$O$11)</f>
        <v>0</v>
      </c>
      <c r="O38" s="15">
        <f>SUMIF('08.08'!$B$4:$B$11,A38,'08.08'!$C$4:$C$11)+SUMIF('08.08'!$D$4:$D$11,A38,'08.08'!$E$4:$E$11)+SUMIF('08.08'!$F$4:$F$11,A38,'08.08'!$G$4:$G$11)+SUMIF('08.08'!$H$4:$H$11,A38,'08.08'!$I$4:$I$11)+SUMIF('08.08'!$J$4:$J$11,A38,'08.08'!$K$4:$K$11)+SUMIF('08.08'!$L$4:$L$11,A38,'08.08'!$M$4:$M$11)+SUMIF('08.08'!$N$4:$N$11,A38,'08.08'!$O$4:$O$11)</f>
        <v>0</v>
      </c>
      <c r="P38" s="15">
        <f>SUMIF('09.08'!$B$4:$B$11,A38,'09.08'!$C$4:$C$11)+SUMIF('09.08'!$D$4:$D$11,A38,'09.08'!$E$4:$E$11)+SUMIF('09.08'!$F$4:$F$11,A38,'09.08'!$G$4:$G$11)+SUMIF('09.08'!$H$4:$H$11,A38,'09.08'!$I$4:$I$11)+SUMIF('09.08'!$J$4:$J$11,A38,'09.08'!$K$4:$K$11)+SUMIF('09.08'!$L$4:$L$11,A38,'09.08'!$M$4:$M$11)+SUMIF('09.08'!$N$4:$N$11,A38,'09.08'!$O$4:$O$11)</f>
        <v>0</v>
      </c>
      <c r="Q38" s="15">
        <f>SUMIF('10.08'!$B$4:$B$11,A38,'10.08'!$C$4:$C$11)+SUMIF('10.08'!$D$4:$D$11,A38,'10.08'!$E$4:$E$11)+SUMIF('10.08'!$F$4:$F$11,A38,'10.08'!$G$4:$G$11)+SUMIF('10.08'!$H$4:$H$11,A38,'10.08'!$I$4:$I$11)+SUMIF('10.08'!$J$4:$J$11,A38,'10.08'!$K$4:$K$11)+SUMIF('10.08'!$L$4:$L$11,A38,'10.08'!$M$4:$M$11)+SUMIF('10.08'!$N$4:$N$11,A38,'10.08'!$O$4:$O$11)</f>
        <v>0</v>
      </c>
      <c r="R38" s="16" t="str">
        <f t="shared" si="4"/>
        <v>#N/A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  <row r="39">
      <c r="A39" s="10" t="str">
        <f>'список продуктов'!A47</f>
        <v>Соль</v>
      </c>
      <c r="B39" s="10" t="str">
        <f>'список продуктов'!B47</f>
        <v>банка</v>
      </c>
      <c r="C39" s="10" t="str">
        <f>'список продуктов'!C47</f>
        <v/>
      </c>
      <c r="D39" s="10" t="str">
        <f>'список продуктов'!D47</f>
        <v/>
      </c>
      <c r="E39" s="10" t="str">
        <f>'список продуктов'!E47</f>
        <v>Долгосрочный</v>
      </c>
      <c r="F39" s="17" t="str">
        <f t="shared" si="5"/>
        <v>#N/A</v>
      </c>
      <c r="G39" s="18" t="str">
        <f t="shared" si="6"/>
        <v>Введите занчения</v>
      </c>
      <c r="H39" s="19" t="str">
        <f t="shared" si="3"/>
        <v>Введите занчения</v>
      </c>
      <c r="I39" s="14">
        <f>SUMIF('02.08'!$B$4:$B$11,A39,'02.08'!$C$4:$C$11)+SUMIF('02.08'!$D$4:$D$11,A39,'02.08'!$E$4:$E$11)+SUMIF('02.08'!$F$4:$F$11,A39,'02.08'!$G$4:$G$11)+SUMIF('02.08'!$H$4:$H$11,A39,'02.08'!$I$4:$I$11)+SUMIF('02.08'!$J$4:$J$11,A39,'02.08'!$K$4:$K$11)+SUMIF('02.08'!$L$4:$L$11,A39,'02.08'!$M$4:$M$11)+SUMIF('02.08'!$N$4:$N$11,A39,'02.08'!$O$4:$O$11)</f>
        <v>0</v>
      </c>
      <c r="J39" s="15">
        <f>SUMIF('03.08'!$B$4:$B$11,A39,'03.08'!$C$4:$C$11)+SUMIF('03.08'!$D$4:$D$11,A39,'03.08'!$E$4:$E$11)+SUMIF('03.08'!$F$4:$F$11,A39,'03.08'!$G$4:$G$11)+SUMIF('03.08'!$H$4:$H$11,A39,'03.08'!$I$4:$I$11)+SUMIF('03.08'!$J$4:$J$11,A39,'03.08'!$K$4:$K$11)+SUMIF('03.08'!$L$4:$L$11,A39,'03.08'!$M$4:$M$11)+SUMIF('03.08'!$N$4:$N$11,A39,'03.08'!$O$4:$O$11)</f>
        <v>0</v>
      </c>
      <c r="K39" s="15">
        <f>SUMIF('04.08'!$B$4:$B$11,A39,'04.08'!$C$4:$C$11)+SUMIF('04.08'!$D$4:$D$11,A39,'04.08'!$E$4:$E$11)+SUMIF('04.08'!$F$4:$F$11,A39,'04.08'!$G$4:$G$11)+SUMIF('04.08'!$H$4:$H$11,A39,'04.08'!$I$4:$I$11)+SUMIF('04.08'!$J$4:$J$11,A39,'04.08'!$K$4:$K$11)+SUMIF('04.08'!$L$4:$L$11,A39,'04.08'!$M$4:$M$11)+SUMIF('04.08'!$N$4:$N$11,A39,'04.08'!$O$4:$O$11)</f>
        <v>0</v>
      </c>
      <c r="L39" s="15">
        <f>SUMIF('05.08'!$B$4:$B$11,A39,'05.08'!$C$4:$C$11)+SUMIF('05.08'!$D$4:$D$11,A39,'05.08'!$E$4:$E$11)+SUMIF('05.08'!$F$4:$F$11,A39,'05.08'!$G$4:$G$11)+SUMIF('05.08'!$H$4:$H$11,A39,'05.08'!$I$4:$I$11)+SUMIF('05.08'!$J$4:$J$11,A39,'05.08'!$K$4:$K$11)+SUMIF('05.08'!$L$4:$L$11,A39,'05.08'!$M$4:$M$11)+SUMIF('05.08'!$N$4:$N$11,A39,'05.08'!$O$4:$O$11)</f>
        <v>0</v>
      </c>
      <c r="M39" s="15">
        <f>SUMIF('06.08'!$B$4:$B$11,A39,'06.08'!$C$4:$C$11)+SUMIF('06.08'!$D$4:$D$11,A39,'06.08'!$E$4:$E$11)+SUMIF('06.08'!$F$4:$F$11,A39,'06.08'!$G$4:$G$11)+SUMIF('06.08'!$H$4:$H$11,A39,'06.08'!$I$4:$I$11)+SUMIF('06.08'!$J$4:$J$11,A39,'06.08'!$K$4:$K$11)+SUMIF('06.08'!$L$4:$L$11,A39,'06.08'!$M$4:$M$11)+SUMIF('06.08'!$N$4:$N$11,A39,'06.08'!$O$4:$O$11)</f>
        <v>0</v>
      </c>
      <c r="N39" s="15">
        <f>SUMIF('07.08'!$B$4:$B$11,A39,'07.08'!$C$4:$C$11)+SUMIF('07.08'!$D$4:$D$11,A39,'07.08'!$E$4:$E$11)+SUMIF('07.08'!$F$4:$F$11,A39,'07.08'!$G$4:$G$11)+SUMIF('07.08'!$H$4:$H$11,A39,'07.08'!$I$4:$I$11)+SUMIF('07.08'!$J$4:$J$11,A39,'07.08'!$K$4:$K$11)+SUMIF('07.08'!$L$4:$L$11,A39,'07.08'!$M$4:$M$11)+SUMIF('07.08'!$N$4:$N$11,A39,'07.08'!$O$4:$O$11)</f>
        <v>0</v>
      </c>
      <c r="O39" s="15">
        <f>SUMIF('08.08'!$B$4:$B$11,A39,'08.08'!$C$4:$C$11)+SUMIF('08.08'!$D$4:$D$11,A39,'08.08'!$E$4:$E$11)+SUMIF('08.08'!$F$4:$F$11,A39,'08.08'!$G$4:$G$11)+SUMIF('08.08'!$H$4:$H$11,A39,'08.08'!$I$4:$I$11)+SUMIF('08.08'!$J$4:$J$11,A39,'08.08'!$K$4:$K$11)+SUMIF('08.08'!$L$4:$L$11,A39,'08.08'!$M$4:$M$11)+SUMIF('08.08'!$N$4:$N$11,A39,'08.08'!$O$4:$O$11)</f>
        <v>0</v>
      </c>
      <c r="P39" s="15">
        <f>SUMIF('09.08'!$B$4:$B$11,A39,'09.08'!$C$4:$C$11)+SUMIF('09.08'!$D$4:$D$11,A39,'09.08'!$E$4:$E$11)+SUMIF('09.08'!$F$4:$F$11,A39,'09.08'!$G$4:$G$11)+SUMIF('09.08'!$H$4:$H$11,A39,'09.08'!$I$4:$I$11)+SUMIF('09.08'!$J$4:$J$11,A39,'09.08'!$K$4:$K$11)+SUMIF('09.08'!$L$4:$L$11,A39,'09.08'!$M$4:$M$11)+SUMIF('09.08'!$N$4:$N$11,A39,'09.08'!$O$4:$O$11)</f>
        <v>0</v>
      </c>
      <c r="Q39" s="15">
        <f>SUMIF('10.08'!$B$4:$B$11,A39,'10.08'!$C$4:$C$11)+SUMIF('10.08'!$D$4:$D$11,A39,'10.08'!$E$4:$E$11)+SUMIF('10.08'!$F$4:$F$11,A39,'10.08'!$G$4:$G$11)+SUMIF('10.08'!$H$4:$H$11,A39,'10.08'!$I$4:$I$11)+SUMIF('10.08'!$J$4:$J$11,A39,'10.08'!$K$4:$K$11)+SUMIF('10.08'!$L$4:$L$11,A39,'10.08'!$M$4:$M$11)+SUMIF('10.08'!$N$4:$N$11,A39,'10.08'!$O$4:$O$11)</f>
        <v>100</v>
      </c>
      <c r="R39" s="16" t="str">
        <f t="shared" si="4"/>
        <v>#N/A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</row>
    <row r="40">
      <c r="A40" s="10" t="str">
        <f>'список продуктов'!A50</f>
        <v>Специи</v>
      </c>
      <c r="B40" s="10" t="str">
        <f>'список продуктов'!B50</f>
        <v>пачка</v>
      </c>
      <c r="C40" s="10">
        <v>1500.0</v>
      </c>
      <c r="D40" s="10" t="str">
        <f>'список продуктов'!D50</f>
        <v/>
      </c>
      <c r="E40" s="10" t="str">
        <f>'список продуктов'!E50</f>
        <v>Долгосрочный</v>
      </c>
      <c r="F40" s="17" t="str">
        <f t="shared" si="5"/>
        <v>#N/A</v>
      </c>
      <c r="G40" s="18" t="str">
        <f t="shared" si="6"/>
        <v>Введите занчения</v>
      </c>
      <c r="H40" s="19" t="str">
        <f t="shared" si="3"/>
        <v>Введите занчения</v>
      </c>
      <c r="I40" s="14">
        <f>SUMIF('02.08'!$B$4:$B$11,A40,'02.08'!$C$4:$C$11)+SUMIF('02.08'!$D$4:$D$11,A40,'02.08'!$E$4:$E$11)+SUMIF('02.08'!$F$4:$F$11,A40,'02.08'!$G$4:$G$11)+SUMIF('02.08'!$H$4:$H$11,A40,'02.08'!$I$4:$I$11)+SUMIF('02.08'!$J$4:$J$11,A40,'02.08'!$K$4:$K$11)+SUMIF('02.08'!$L$4:$L$11,A40,'02.08'!$M$4:$M$11)+SUMIF('02.08'!$N$4:$N$11,A40,'02.08'!$O$4:$O$11)</f>
        <v>0</v>
      </c>
      <c r="J40" s="15">
        <f>SUMIF('03.08'!$B$4:$B$11,A40,'03.08'!$C$4:$C$11)+SUMIF('03.08'!$D$4:$D$11,A40,'03.08'!$E$4:$E$11)+SUMIF('03.08'!$F$4:$F$11,A40,'03.08'!$G$4:$G$11)+SUMIF('03.08'!$H$4:$H$11,A40,'03.08'!$I$4:$I$11)+SUMIF('03.08'!$J$4:$J$11,A40,'03.08'!$K$4:$K$11)+SUMIF('03.08'!$L$4:$L$11,A40,'03.08'!$M$4:$M$11)+SUMIF('03.08'!$N$4:$N$11,A40,'03.08'!$O$4:$O$11)</f>
        <v>0</v>
      </c>
      <c r="K40" s="15">
        <f>SUMIF('04.08'!$B$4:$B$11,A40,'04.08'!$C$4:$C$11)+SUMIF('04.08'!$D$4:$D$11,A40,'04.08'!$E$4:$E$11)+SUMIF('04.08'!$F$4:$F$11,A40,'04.08'!$G$4:$G$11)+SUMIF('04.08'!$H$4:$H$11,A40,'04.08'!$I$4:$I$11)+SUMIF('04.08'!$J$4:$J$11,A40,'04.08'!$K$4:$K$11)+SUMIF('04.08'!$L$4:$L$11,A40,'04.08'!$M$4:$M$11)+SUMIF('04.08'!$N$4:$N$11,A40,'04.08'!$O$4:$O$11)</f>
        <v>0</v>
      </c>
      <c r="L40" s="15">
        <f>SUMIF('05.08'!$B$4:$B$11,A40,'05.08'!$C$4:$C$11)+SUMIF('05.08'!$D$4:$D$11,A40,'05.08'!$E$4:$E$11)+SUMIF('05.08'!$F$4:$F$11,A40,'05.08'!$G$4:$G$11)+SUMIF('05.08'!$H$4:$H$11,A40,'05.08'!$I$4:$I$11)+SUMIF('05.08'!$J$4:$J$11,A40,'05.08'!$K$4:$K$11)+SUMIF('05.08'!$L$4:$L$11,A40,'05.08'!$M$4:$M$11)+SUMIF('05.08'!$N$4:$N$11,A40,'05.08'!$O$4:$O$11)</f>
        <v>0</v>
      </c>
      <c r="M40" s="15">
        <f>SUMIF('06.08'!$B$4:$B$11,A40,'06.08'!$C$4:$C$11)+SUMIF('06.08'!$D$4:$D$11,A40,'06.08'!$E$4:$E$11)+SUMIF('06.08'!$F$4:$F$11,A40,'06.08'!$G$4:$G$11)+SUMIF('06.08'!$H$4:$H$11,A40,'06.08'!$I$4:$I$11)+SUMIF('06.08'!$J$4:$J$11,A40,'06.08'!$K$4:$K$11)+SUMIF('06.08'!$L$4:$L$11,A40,'06.08'!$M$4:$M$11)+SUMIF('06.08'!$N$4:$N$11,A40,'06.08'!$O$4:$O$11)</f>
        <v>0</v>
      </c>
      <c r="N40" s="15">
        <f>SUMIF('07.08'!$B$4:$B$11,A40,'07.08'!$C$4:$C$11)+SUMIF('07.08'!$D$4:$D$11,A40,'07.08'!$E$4:$E$11)+SUMIF('07.08'!$F$4:$F$11,A40,'07.08'!$G$4:$G$11)+SUMIF('07.08'!$H$4:$H$11,A40,'07.08'!$I$4:$I$11)+SUMIF('07.08'!$J$4:$J$11,A40,'07.08'!$K$4:$K$11)+SUMIF('07.08'!$L$4:$L$11,A40,'07.08'!$M$4:$M$11)+SUMIF('07.08'!$N$4:$N$11,A40,'07.08'!$O$4:$O$11)</f>
        <v>0</v>
      </c>
      <c r="O40" s="15">
        <f>SUMIF('08.08'!$B$4:$B$11,A40,'08.08'!$C$4:$C$11)+SUMIF('08.08'!$D$4:$D$11,A40,'08.08'!$E$4:$E$11)+SUMIF('08.08'!$F$4:$F$11,A40,'08.08'!$G$4:$G$11)+SUMIF('08.08'!$H$4:$H$11,A40,'08.08'!$I$4:$I$11)+SUMIF('08.08'!$J$4:$J$11,A40,'08.08'!$K$4:$K$11)+SUMIF('08.08'!$L$4:$L$11,A40,'08.08'!$M$4:$M$11)+SUMIF('08.08'!$N$4:$N$11,A40,'08.08'!$O$4:$O$11)</f>
        <v>0</v>
      </c>
      <c r="P40" s="15">
        <f>SUMIF('09.08'!$B$4:$B$11,A40,'09.08'!$C$4:$C$11)+SUMIF('09.08'!$D$4:$D$11,A40,'09.08'!$E$4:$E$11)+SUMIF('09.08'!$F$4:$F$11,A40,'09.08'!$G$4:$G$11)+SUMIF('09.08'!$H$4:$H$11,A40,'09.08'!$I$4:$I$11)+SUMIF('09.08'!$J$4:$J$11,A40,'09.08'!$K$4:$K$11)+SUMIF('09.08'!$L$4:$L$11,A40,'09.08'!$M$4:$M$11)+SUMIF('09.08'!$N$4:$N$11,A40,'09.08'!$O$4:$O$11)</f>
        <v>0</v>
      </c>
      <c r="Q40" s="15">
        <f>SUMIF('10.08'!$B$4:$B$11,A40,'10.08'!$C$4:$C$11)+SUMIF('10.08'!$D$4:$D$11,A40,'10.08'!$E$4:$E$11)+SUMIF('10.08'!$F$4:$F$11,A40,'10.08'!$G$4:$G$11)+SUMIF('10.08'!$H$4:$H$11,A40,'10.08'!$I$4:$I$11)+SUMIF('10.08'!$J$4:$J$11,A40,'10.08'!$K$4:$K$11)+SUMIF('10.08'!$L$4:$L$11,A40,'10.08'!$M$4:$M$11)+SUMIF('10.08'!$N$4:$N$11,A40,'10.08'!$O$4:$O$11)</f>
        <v>120</v>
      </c>
      <c r="R40" s="16" t="str">
        <f t="shared" si="4"/>
        <v>#N/A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  <row r="41">
      <c r="A41" s="10" t="str">
        <f>'список продуктов'!A53</f>
        <v>Томатная паста </v>
      </c>
      <c r="B41" s="10" t="str">
        <f>'список продуктов'!B53</f>
        <v>банка</v>
      </c>
      <c r="C41" s="10" t="str">
        <f>'список продуктов'!C53</f>
        <v/>
      </c>
      <c r="D41" s="10" t="str">
        <f>'список продуктов'!D53</f>
        <v/>
      </c>
      <c r="E41" s="10" t="str">
        <f>'список продуктов'!E53</f>
        <v>Долгосрочный</v>
      </c>
      <c r="F41" s="17" t="str">
        <f t="shared" si="5"/>
        <v>#N/A</v>
      </c>
      <c r="G41" s="18" t="str">
        <f t="shared" si="6"/>
        <v>Введите занчения</v>
      </c>
      <c r="H41" s="19" t="str">
        <f t="shared" si="3"/>
        <v>Введите занчения</v>
      </c>
      <c r="I41" s="14">
        <f>SUMIF('02.08'!$B$4:$B$11,A41,'02.08'!$C$4:$C$11)+SUMIF('02.08'!$D$4:$D$11,A41,'02.08'!$E$4:$E$11)+SUMIF('02.08'!$F$4:$F$11,A41,'02.08'!$G$4:$G$11)+SUMIF('02.08'!$H$4:$H$11,A41,'02.08'!$I$4:$I$11)+SUMIF('02.08'!$J$4:$J$11,A41,'02.08'!$K$4:$K$11)+SUMIF('02.08'!$L$4:$L$11,A41,'02.08'!$M$4:$M$11)+SUMIF('02.08'!$N$4:$N$11,A41,'02.08'!$O$4:$O$11)</f>
        <v>0</v>
      </c>
      <c r="J41" s="15">
        <f>SUMIF('03.08'!$B$4:$B$11,A41,'03.08'!$C$4:$C$11)+SUMIF('03.08'!$D$4:$D$11,A41,'03.08'!$E$4:$E$11)+SUMIF('03.08'!$F$4:$F$11,A41,'03.08'!$G$4:$G$11)+SUMIF('03.08'!$H$4:$H$11,A41,'03.08'!$I$4:$I$11)+SUMIF('03.08'!$J$4:$J$11,A41,'03.08'!$K$4:$K$11)+SUMIF('03.08'!$L$4:$L$11,A41,'03.08'!$M$4:$M$11)+SUMIF('03.08'!$N$4:$N$11,A41,'03.08'!$O$4:$O$11)</f>
        <v>0</v>
      </c>
      <c r="K41" s="15">
        <f>SUMIF('04.08'!$B$4:$B$11,A41,'04.08'!$C$4:$C$11)+SUMIF('04.08'!$D$4:$D$11,A41,'04.08'!$E$4:$E$11)+SUMIF('04.08'!$F$4:$F$11,A41,'04.08'!$G$4:$G$11)+SUMIF('04.08'!$H$4:$H$11,A41,'04.08'!$I$4:$I$11)+SUMIF('04.08'!$J$4:$J$11,A41,'04.08'!$K$4:$K$11)+SUMIF('04.08'!$L$4:$L$11,A41,'04.08'!$M$4:$M$11)+SUMIF('04.08'!$N$4:$N$11,A41,'04.08'!$O$4:$O$11)</f>
        <v>0</v>
      </c>
      <c r="L41" s="15">
        <f>SUMIF('05.08'!$B$4:$B$11,A41,'05.08'!$C$4:$C$11)+SUMIF('05.08'!$D$4:$D$11,A41,'05.08'!$E$4:$E$11)+SUMIF('05.08'!$F$4:$F$11,A41,'05.08'!$G$4:$G$11)+SUMIF('05.08'!$H$4:$H$11,A41,'05.08'!$I$4:$I$11)+SUMIF('05.08'!$J$4:$J$11,A41,'05.08'!$K$4:$K$11)+SUMIF('05.08'!$L$4:$L$11,A41,'05.08'!$M$4:$M$11)+SUMIF('05.08'!$N$4:$N$11,A41,'05.08'!$O$4:$O$11)</f>
        <v>0</v>
      </c>
      <c r="M41" s="15">
        <f>SUMIF('06.08'!$B$4:$B$11,A41,'06.08'!$C$4:$C$11)+SUMIF('06.08'!$D$4:$D$11,A41,'06.08'!$E$4:$E$11)+SUMIF('06.08'!$F$4:$F$11,A41,'06.08'!$G$4:$G$11)+SUMIF('06.08'!$H$4:$H$11,A41,'06.08'!$I$4:$I$11)+SUMIF('06.08'!$J$4:$J$11,A41,'06.08'!$K$4:$K$11)+SUMIF('06.08'!$L$4:$L$11,A41,'06.08'!$M$4:$M$11)+SUMIF('06.08'!$N$4:$N$11,A41,'06.08'!$O$4:$O$11)</f>
        <v>0</v>
      </c>
      <c r="N41" s="15">
        <f>SUMIF('07.08'!$B$4:$B$11,A41,'07.08'!$C$4:$C$11)+SUMIF('07.08'!$D$4:$D$11,A41,'07.08'!$E$4:$E$11)+SUMIF('07.08'!$F$4:$F$11,A41,'07.08'!$G$4:$G$11)+SUMIF('07.08'!$H$4:$H$11,A41,'07.08'!$I$4:$I$11)+SUMIF('07.08'!$J$4:$J$11,A41,'07.08'!$K$4:$K$11)+SUMIF('07.08'!$L$4:$L$11,A41,'07.08'!$M$4:$M$11)+SUMIF('07.08'!$N$4:$N$11,A41,'07.08'!$O$4:$O$11)</f>
        <v>0</v>
      </c>
      <c r="O41" s="15">
        <f>SUMIF('08.08'!$B$4:$B$11,A41,'08.08'!$C$4:$C$11)+SUMIF('08.08'!$D$4:$D$11,A41,'08.08'!$E$4:$E$11)+SUMIF('08.08'!$F$4:$F$11,A41,'08.08'!$G$4:$G$11)+SUMIF('08.08'!$H$4:$H$11,A41,'08.08'!$I$4:$I$11)+SUMIF('08.08'!$J$4:$J$11,A41,'08.08'!$K$4:$K$11)+SUMIF('08.08'!$L$4:$L$11,A41,'08.08'!$M$4:$M$11)+SUMIF('08.08'!$N$4:$N$11,A41,'08.08'!$O$4:$O$11)</f>
        <v>0</v>
      </c>
      <c r="P41" s="15">
        <f>SUMIF('09.08'!$B$4:$B$11,A41,'09.08'!$C$4:$C$11)+SUMIF('09.08'!$D$4:$D$11,A41,'09.08'!$E$4:$E$11)+SUMIF('09.08'!$F$4:$F$11,A41,'09.08'!$G$4:$G$11)+SUMIF('09.08'!$H$4:$H$11,A41,'09.08'!$I$4:$I$11)+SUMIF('09.08'!$J$4:$J$11,A41,'09.08'!$K$4:$K$11)+SUMIF('09.08'!$L$4:$L$11,A41,'09.08'!$M$4:$M$11)+SUMIF('09.08'!$N$4:$N$11,A41,'09.08'!$O$4:$O$11)</f>
        <v>0</v>
      </c>
      <c r="Q41" s="15">
        <f>SUMIF('10.08'!$B$4:$B$11,A41,'10.08'!$C$4:$C$11)+SUMIF('10.08'!$D$4:$D$11,A41,'10.08'!$E$4:$E$11)+SUMIF('10.08'!$F$4:$F$11,A41,'10.08'!$G$4:$G$11)+SUMIF('10.08'!$H$4:$H$11,A41,'10.08'!$I$4:$I$11)+SUMIF('10.08'!$J$4:$J$11,A41,'10.08'!$K$4:$K$11)+SUMIF('10.08'!$L$4:$L$11,A41,'10.08'!$M$4:$M$11)+SUMIF('10.08'!$N$4:$N$11,A41,'10.08'!$O$4:$O$11)</f>
        <v>0</v>
      </c>
      <c r="R41" s="16" t="str">
        <f t="shared" si="4"/>
        <v>#N/A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</row>
    <row r="42">
      <c r="A42" s="10" t="str">
        <f>'список продуктов'!A54</f>
        <v>Укроп</v>
      </c>
      <c r="B42" s="10" t="str">
        <f>'список продуктов'!B54</f>
        <v>упаковка</v>
      </c>
      <c r="C42" s="10" t="str">
        <f>'список продуктов'!C54</f>
        <v/>
      </c>
      <c r="D42" s="10" t="str">
        <f>'список продуктов'!D54</f>
        <v/>
      </c>
      <c r="E42" s="10" t="str">
        <f>'список продуктов'!E54</f>
        <v>Краткосрочный</v>
      </c>
      <c r="F42" s="17" t="str">
        <f t="shared" si="5"/>
        <v>#N/A</v>
      </c>
      <c r="G42" s="18" t="str">
        <f t="shared" si="6"/>
        <v>Введите занчения</v>
      </c>
      <c r="H42" s="19" t="str">
        <f t="shared" si="3"/>
        <v>Введите занчения</v>
      </c>
      <c r="I42" s="14">
        <f>SUMIF('02.08'!$B$4:$B$11,A42,'02.08'!$C$4:$C$11)+SUMIF('02.08'!$D$4:$D$11,A42,'02.08'!$E$4:$E$11)+SUMIF('02.08'!$F$4:$F$11,A42,'02.08'!$G$4:$G$11)+SUMIF('02.08'!$H$4:$H$11,A42,'02.08'!$I$4:$I$11)+SUMIF('02.08'!$J$4:$J$11,A42,'02.08'!$K$4:$K$11)+SUMIF('02.08'!$L$4:$L$11,A42,'02.08'!$M$4:$M$11)+SUMIF('02.08'!$N$4:$N$11,A42,'02.08'!$O$4:$O$11)</f>
        <v>0</v>
      </c>
      <c r="J42" s="15">
        <f>SUMIF('03.08'!$B$4:$B$11,A42,'03.08'!$C$4:$C$11)+SUMIF('03.08'!$D$4:$D$11,A42,'03.08'!$E$4:$E$11)+SUMIF('03.08'!$F$4:$F$11,A42,'03.08'!$G$4:$G$11)+SUMIF('03.08'!$H$4:$H$11,A42,'03.08'!$I$4:$I$11)+SUMIF('03.08'!$J$4:$J$11,A42,'03.08'!$K$4:$K$11)+SUMIF('03.08'!$L$4:$L$11,A42,'03.08'!$M$4:$M$11)+SUMIF('03.08'!$N$4:$N$11,A42,'03.08'!$O$4:$O$11)</f>
        <v>0</v>
      </c>
      <c r="K42" s="15">
        <f>SUMIF('04.08'!$B$4:$B$11,A42,'04.08'!$C$4:$C$11)+SUMIF('04.08'!$D$4:$D$11,A42,'04.08'!$E$4:$E$11)+SUMIF('04.08'!$F$4:$F$11,A42,'04.08'!$G$4:$G$11)+SUMIF('04.08'!$H$4:$H$11,A42,'04.08'!$I$4:$I$11)+SUMIF('04.08'!$J$4:$J$11,A42,'04.08'!$K$4:$K$11)+SUMIF('04.08'!$L$4:$L$11,A42,'04.08'!$M$4:$M$11)+SUMIF('04.08'!$N$4:$N$11,A42,'04.08'!$O$4:$O$11)</f>
        <v>0</v>
      </c>
      <c r="L42" s="15">
        <f>SUMIF('05.08'!$B$4:$B$11,A42,'05.08'!$C$4:$C$11)+SUMIF('05.08'!$D$4:$D$11,A42,'05.08'!$E$4:$E$11)+SUMIF('05.08'!$F$4:$F$11,A42,'05.08'!$G$4:$G$11)+SUMIF('05.08'!$H$4:$H$11,A42,'05.08'!$I$4:$I$11)+SUMIF('05.08'!$J$4:$J$11,A42,'05.08'!$K$4:$K$11)+SUMIF('05.08'!$L$4:$L$11,A42,'05.08'!$M$4:$M$11)+SUMIF('05.08'!$N$4:$N$11,A42,'05.08'!$O$4:$O$11)</f>
        <v>0</v>
      </c>
      <c r="M42" s="15">
        <f>SUMIF('06.08'!$B$4:$B$11,A42,'06.08'!$C$4:$C$11)+SUMIF('06.08'!$D$4:$D$11,A42,'06.08'!$E$4:$E$11)+SUMIF('06.08'!$F$4:$F$11,A42,'06.08'!$G$4:$G$11)+SUMIF('06.08'!$H$4:$H$11,A42,'06.08'!$I$4:$I$11)+SUMIF('06.08'!$J$4:$J$11,A42,'06.08'!$K$4:$K$11)+SUMIF('06.08'!$L$4:$L$11,A42,'06.08'!$M$4:$M$11)+SUMIF('06.08'!$N$4:$N$11,A42,'06.08'!$O$4:$O$11)</f>
        <v>0</v>
      </c>
      <c r="N42" s="15">
        <f>SUMIF('07.08'!$B$4:$B$11,A42,'07.08'!$C$4:$C$11)+SUMIF('07.08'!$D$4:$D$11,A42,'07.08'!$E$4:$E$11)+SUMIF('07.08'!$F$4:$F$11,A42,'07.08'!$G$4:$G$11)+SUMIF('07.08'!$H$4:$H$11,A42,'07.08'!$I$4:$I$11)+SUMIF('07.08'!$J$4:$J$11,A42,'07.08'!$K$4:$K$11)+SUMIF('07.08'!$L$4:$L$11,A42,'07.08'!$M$4:$M$11)+SUMIF('07.08'!$N$4:$N$11,A42,'07.08'!$O$4:$O$11)</f>
        <v>0</v>
      </c>
      <c r="O42" s="15">
        <f>SUMIF('08.08'!$B$4:$B$11,A42,'08.08'!$C$4:$C$11)+SUMIF('08.08'!$D$4:$D$11,A42,'08.08'!$E$4:$E$11)+SUMIF('08.08'!$F$4:$F$11,A42,'08.08'!$G$4:$G$11)+SUMIF('08.08'!$H$4:$H$11,A42,'08.08'!$I$4:$I$11)+SUMIF('08.08'!$J$4:$J$11,A42,'08.08'!$K$4:$K$11)+SUMIF('08.08'!$L$4:$L$11,A42,'08.08'!$M$4:$M$11)+SUMIF('08.08'!$N$4:$N$11,A42,'08.08'!$O$4:$O$11)</f>
        <v>0</v>
      </c>
      <c r="P42" s="15">
        <f>SUMIF('09.08'!$B$4:$B$11,A42,'09.08'!$C$4:$C$11)+SUMIF('09.08'!$D$4:$D$11,A42,'09.08'!$E$4:$E$11)+SUMIF('09.08'!$F$4:$F$11,A42,'09.08'!$G$4:$G$11)+SUMIF('09.08'!$H$4:$H$11,A42,'09.08'!$I$4:$I$11)+SUMIF('09.08'!$J$4:$J$11,A42,'09.08'!$K$4:$K$11)+SUMIF('09.08'!$L$4:$L$11,A42,'09.08'!$M$4:$M$11)+SUMIF('09.08'!$N$4:$N$11,A42,'09.08'!$O$4:$O$11)</f>
        <v>0</v>
      </c>
      <c r="Q42" s="15">
        <f>SUMIF('10.08'!$B$4:$B$11,A42,'10.08'!$C$4:$C$11)+SUMIF('10.08'!$D$4:$D$11,A42,'10.08'!$E$4:$E$11)+SUMIF('10.08'!$F$4:$F$11,A42,'10.08'!$G$4:$G$11)+SUMIF('10.08'!$H$4:$H$11,A42,'10.08'!$I$4:$I$11)+SUMIF('10.08'!$J$4:$J$11,A42,'10.08'!$K$4:$K$11)+SUMIF('10.08'!$L$4:$L$11,A42,'10.08'!$M$4:$M$11)+SUMIF('10.08'!$N$4:$N$11,A42,'10.08'!$O$4:$O$11)</f>
        <v>0</v>
      </c>
      <c r="R42" s="16" t="str">
        <f t="shared" si="4"/>
        <v>#N/A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</row>
    <row r="43">
      <c r="A43" s="10" t="str">
        <f>'список продуктов'!A56</f>
        <v>Фасоль</v>
      </c>
      <c r="B43" s="10" t="str">
        <f>'список продуктов'!B56</f>
        <v>банка</v>
      </c>
      <c r="C43" s="10" t="str">
        <f>'список продуктов'!C56</f>
        <v/>
      </c>
      <c r="D43" s="10" t="str">
        <f>'список продуктов'!D56</f>
        <v/>
      </c>
      <c r="E43" s="10" t="str">
        <f>'список продуктов'!E56</f>
        <v>Долгосрочный</v>
      </c>
      <c r="F43" s="17" t="str">
        <f t="shared" si="5"/>
        <v>#N/A</v>
      </c>
      <c r="G43" s="18" t="str">
        <f t="shared" si="6"/>
        <v>Введите занчения</v>
      </c>
      <c r="H43" s="19" t="str">
        <f t="shared" si="3"/>
        <v>Введите занчения</v>
      </c>
      <c r="I43" s="14">
        <f>SUMIF('02.08'!$B$4:$B$11,A43,'02.08'!$C$4:$C$11)+SUMIF('02.08'!$D$4:$D$11,A43,'02.08'!$E$4:$E$11)+SUMIF('02.08'!$F$4:$F$11,A43,'02.08'!$G$4:$G$11)+SUMIF('02.08'!$H$4:$H$11,A43,'02.08'!$I$4:$I$11)+SUMIF('02.08'!$J$4:$J$11,A43,'02.08'!$K$4:$K$11)+SUMIF('02.08'!$L$4:$L$11,A43,'02.08'!$M$4:$M$11)+SUMIF('02.08'!$N$4:$N$11,A43,'02.08'!$O$4:$O$11)</f>
        <v>0</v>
      </c>
      <c r="J43" s="15">
        <f>SUMIF('03.08'!$B$4:$B$11,A43,'03.08'!$C$4:$C$11)+SUMIF('03.08'!$D$4:$D$11,A43,'03.08'!$E$4:$E$11)+SUMIF('03.08'!$F$4:$F$11,A43,'03.08'!$G$4:$G$11)+SUMIF('03.08'!$H$4:$H$11,A43,'03.08'!$I$4:$I$11)+SUMIF('03.08'!$J$4:$J$11,A43,'03.08'!$K$4:$K$11)+SUMIF('03.08'!$L$4:$L$11,A43,'03.08'!$M$4:$M$11)+SUMIF('03.08'!$N$4:$N$11,A43,'03.08'!$O$4:$O$11)</f>
        <v>0</v>
      </c>
      <c r="K43" s="15">
        <f>SUMIF('04.08'!$B$4:$B$11,A43,'04.08'!$C$4:$C$11)+SUMIF('04.08'!$D$4:$D$11,A43,'04.08'!$E$4:$E$11)+SUMIF('04.08'!$F$4:$F$11,A43,'04.08'!$G$4:$G$11)+SUMIF('04.08'!$H$4:$H$11,A43,'04.08'!$I$4:$I$11)+SUMIF('04.08'!$J$4:$J$11,A43,'04.08'!$K$4:$K$11)+SUMIF('04.08'!$L$4:$L$11,A43,'04.08'!$M$4:$M$11)+SUMIF('04.08'!$N$4:$N$11,A43,'04.08'!$O$4:$O$11)</f>
        <v>0</v>
      </c>
      <c r="L43" s="15">
        <f>SUMIF('05.08'!$B$4:$B$11,A43,'05.08'!$C$4:$C$11)+SUMIF('05.08'!$D$4:$D$11,A43,'05.08'!$E$4:$E$11)+SUMIF('05.08'!$F$4:$F$11,A43,'05.08'!$G$4:$G$11)+SUMIF('05.08'!$H$4:$H$11,A43,'05.08'!$I$4:$I$11)+SUMIF('05.08'!$J$4:$J$11,A43,'05.08'!$K$4:$K$11)+SUMIF('05.08'!$L$4:$L$11,A43,'05.08'!$M$4:$M$11)+SUMIF('05.08'!$N$4:$N$11,A43,'05.08'!$O$4:$O$11)</f>
        <v>0</v>
      </c>
      <c r="M43" s="15">
        <f>SUMIF('06.08'!$B$4:$B$11,A43,'06.08'!$C$4:$C$11)+SUMIF('06.08'!$D$4:$D$11,A43,'06.08'!$E$4:$E$11)+SUMIF('06.08'!$F$4:$F$11,A43,'06.08'!$G$4:$G$11)+SUMIF('06.08'!$H$4:$H$11,A43,'06.08'!$I$4:$I$11)+SUMIF('06.08'!$J$4:$J$11,A43,'06.08'!$K$4:$K$11)+SUMIF('06.08'!$L$4:$L$11,A43,'06.08'!$M$4:$M$11)+SUMIF('06.08'!$N$4:$N$11,A43,'06.08'!$O$4:$O$11)</f>
        <v>0</v>
      </c>
      <c r="N43" s="15">
        <f>SUMIF('07.08'!$B$4:$B$11,A43,'07.08'!$C$4:$C$11)+SUMIF('07.08'!$D$4:$D$11,A43,'07.08'!$E$4:$E$11)+SUMIF('07.08'!$F$4:$F$11,A43,'07.08'!$G$4:$G$11)+SUMIF('07.08'!$H$4:$H$11,A43,'07.08'!$I$4:$I$11)+SUMIF('07.08'!$J$4:$J$11,A43,'07.08'!$K$4:$K$11)+SUMIF('07.08'!$L$4:$L$11,A43,'07.08'!$M$4:$M$11)+SUMIF('07.08'!$N$4:$N$11,A43,'07.08'!$O$4:$O$11)</f>
        <v>0</v>
      </c>
      <c r="O43" s="15">
        <f>SUMIF('08.08'!$B$4:$B$11,A43,'08.08'!$C$4:$C$11)+SUMIF('08.08'!$D$4:$D$11,A43,'08.08'!$E$4:$E$11)+SUMIF('08.08'!$F$4:$F$11,A43,'08.08'!$G$4:$G$11)+SUMIF('08.08'!$H$4:$H$11,A43,'08.08'!$I$4:$I$11)+SUMIF('08.08'!$J$4:$J$11,A43,'08.08'!$K$4:$K$11)+SUMIF('08.08'!$L$4:$L$11,A43,'08.08'!$M$4:$M$11)+SUMIF('08.08'!$N$4:$N$11,A43,'08.08'!$O$4:$O$11)</f>
        <v>0</v>
      </c>
      <c r="P43" s="15">
        <f>SUMIF('09.08'!$B$4:$B$11,A43,'09.08'!$C$4:$C$11)+SUMIF('09.08'!$D$4:$D$11,A43,'09.08'!$E$4:$E$11)+SUMIF('09.08'!$F$4:$F$11,A43,'09.08'!$G$4:$G$11)+SUMIF('09.08'!$H$4:$H$11,A43,'09.08'!$I$4:$I$11)+SUMIF('09.08'!$J$4:$J$11,A43,'09.08'!$K$4:$K$11)+SUMIF('09.08'!$L$4:$L$11,A43,'09.08'!$M$4:$M$11)+SUMIF('09.08'!$N$4:$N$11,A43,'09.08'!$O$4:$O$11)</f>
        <v>0</v>
      </c>
      <c r="Q43" s="15">
        <f>SUMIF('10.08'!$B$4:$B$11,A43,'10.08'!$C$4:$C$11)+SUMIF('10.08'!$D$4:$D$11,A43,'10.08'!$E$4:$E$11)+SUMIF('10.08'!$F$4:$F$11,A43,'10.08'!$G$4:$G$11)+SUMIF('10.08'!$H$4:$H$11,A43,'10.08'!$I$4:$I$11)+SUMIF('10.08'!$J$4:$J$11,A43,'10.08'!$K$4:$K$11)+SUMIF('10.08'!$L$4:$L$11,A43,'10.08'!$M$4:$M$11)+SUMIF('10.08'!$N$4:$N$11,A43,'10.08'!$O$4:$O$11)</f>
        <v>0</v>
      </c>
      <c r="R43" s="16" t="str">
        <f t="shared" si="4"/>
        <v>#N/A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</row>
    <row r="44">
      <c r="A44" s="10" t="str">
        <f>'список продуктов'!A57</f>
        <v>Хлеб</v>
      </c>
      <c r="B44" s="10" t="str">
        <f>'список продуктов'!B57</f>
        <v>батон</v>
      </c>
      <c r="C44" s="10" t="str">
        <f>'список продуктов'!C57</f>
        <v/>
      </c>
      <c r="D44" s="10" t="str">
        <f>'список продуктов'!D57</f>
        <v/>
      </c>
      <c r="E44" s="10" t="str">
        <f>'список продуктов'!E57</f>
        <v>Краткосрочный</v>
      </c>
      <c r="F44" s="21" t="str">
        <f t="shared" si="5"/>
        <v>#N/A</v>
      </c>
      <c r="G44" s="22" t="str">
        <f t="shared" si="6"/>
        <v>Введите занчения</v>
      </c>
      <c r="H44" s="19" t="str">
        <f t="shared" si="3"/>
        <v>Введите занчения</v>
      </c>
      <c r="I44" s="14">
        <f>SUMIF('02.08'!$B$4:$B$11,A44,'02.08'!$C$4:$C$11)+SUMIF('02.08'!$D$4:$D$11,A44,'02.08'!$E$4:$E$11)+SUMIF('02.08'!$F$4:$F$11,A44,'02.08'!$G$4:$G$11)+SUMIF('02.08'!$H$4:$H$11,A44,'02.08'!$I$4:$I$11)+SUMIF('02.08'!$J$4:$J$11,A44,'02.08'!$K$4:$K$11)+SUMIF('02.08'!$L$4:$L$11,A44,'02.08'!$M$4:$M$11)+SUMIF('02.08'!$N$4:$N$11,A44,'02.08'!$O$4:$O$11)</f>
        <v>0</v>
      </c>
      <c r="J44" s="15">
        <f>SUMIF('03.08'!$B$4:$B$11,A44,'03.08'!$C$4:$C$11)+SUMIF('03.08'!$D$4:$D$11,A44,'03.08'!$E$4:$E$11)+SUMIF('03.08'!$F$4:$F$11,A44,'03.08'!$G$4:$G$11)+SUMIF('03.08'!$H$4:$H$11,A44,'03.08'!$I$4:$I$11)+SUMIF('03.08'!$J$4:$J$11,A44,'03.08'!$K$4:$K$11)+SUMIF('03.08'!$L$4:$L$11,A44,'03.08'!$M$4:$M$11)+SUMIF('03.08'!$N$4:$N$11,A44,'03.08'!$O$4:$O$11)</f>
        <v>0</v>
      </c>
      <c r="K44" s="15">
        <f>SUMIF('04.08'!$B$4:$B$11,A44,'04.08'!$C$4:$C$11)+SUMIF('04.08'!$D$4:$D$11,A44,'04.08'!$E$4:$E$11)+SUMIF('04.08'!$F$4:$F$11,A44,'04.08'!$G$4:$G$11)+SUMIF('04.08'!$H$4:$H$11,A44,'04.08'!$I$4:$I$11)+SUMIF('04.08'!$J$4:$J$11,A44,'04.08'!$K$4:$K$11)+SUMIF('04.08'!$L$4:$L$11,A44,'04.08'!$M$4:$M$11)+SUMIF('04.08'!$N$4:$N$11,A44,'04.08'!$O$4:$O$11)</f>
        <v>0</v>
      </c>
      <c r="L44" s="15">
        <f>SUMIF('05.08'!$B$4:$B$11,A44,'05.08'!$C$4:$C$11)+SUMIF('05.08'!$D$4:$D$11,A44,'05.08'!$E$4:$E$11)+SUMIF('05.08'!$F$4:$F$11,A44,'05.08'!$G$4:$G$11)+SUMIF('05.08'!$H$4:$H$11,A44,'05.08'!$I$4:$I$11)+SUMIF('05.08'!$J$4:$J$11,A44,'05.08'!$K$4:$K$11)+SUMIF('05.08'!$L$4:$L$11,A44,'05.08'!$M$4:$M$11)+SUMIF('05.08'!$N$4:$N$11,A44,'05.08'!$O$4:$O$11)</f>
        <v>0</v>
      </c>
      <c r="M44" s="15">
        <f>SUMIF('06.08'!$B$4:$B$11,A44,'06.08'!$C$4:$C$11)+SUMIF('06.08'!$D$4:$D$11,A44,'06.08'!$E$4:$E$11)+SUMIF('06.08'!$F$4:$F$11,A44,'06.08'!$G$4:$G$11)+SUMIF('06.08'!$H$4:$H$11,A44,'06.08'!$I$4:$I$11)+SUMIF('06.08'!$J$4:$J$11,A44,'06.08'!$K$4:$K$11)+SUMIF('06.08'!$L$4:$L$11,A44,'06.08'!$M$4:$M$11)+SUMIF('06.08'!$N$4:$N$11,A44,'06.08'!$O$4:$O$11)</f>
        <v>0</v>
      </c>
      <c r="N44" s="15">
        <f>SUMIF('07.08'!$B$4:$B$11,A44,'07.08'!$C$4:$C$11)+SUMIF('07.08'!$D$4:$D$11,A44,'07.08'!$E$4:$E$11)+SUMIF('07.08'!$F$4:$F$11,A44,'07.08'!$G$4:$G$11)+SUMIF('07.08'!$H$4:$H$11,A44,'07.08'!$I$4:$I$11)+SUMIF('07.08'!$J$4:$J$11,A44,'07.08'!$K$4:$K$11)+SUMIF('07.08'!$L$4:$L$11,A44,'07.08'!$M$4:$M$11)+SUMIF('07.08'!$N$4:$N$11,A44,'07.08'!$O$4:$O$11)</f>
        <v>0</v>
      </c>
      <c r="O44" s="15">
        <f>SUMIF('08.08'!$B$4:$B$11,A44,'08.08'!$C$4:$C$11)+SUMIF('08.08'!$D$4:$D$11,A44,'08.08'!$E$4:$E$11)+SUMIF('08.08'!$F$4:$F$11,A44,'08.08'!$G$4:$G$11)+SUMIF('08.08'!$H$4:$H$11,A44,'08.08'!$I$4:$I$11)+SUMIF('08.08'!$J$4:$J$11,A44,'08.08'!$K$4:$K$11)+SUMIF('08.08'!$L$4:$L$11,A44,'08.08'!$M$4:$M$11)+SUMIF('08.08'!$N$4:$N$11,A44,'08.08'!$O$4:$O$11)</f>
        <v>0</v>
      </c>
      <c r="P44" s="15">
        <f>SUMIF('09.08'!$B$4:$B$11,A44,'09.08'!$C$4:$C$11)+SUMIF('09.08'!$D$4:$D$11,A44,'09.08'!$E$4:$E$11)+SUMIF('09.08'!$F$4:$F$11,A44,'09.08'!$G$4:$G$11)+SUMIF('09.08'!$H$4:$H$11,A44,'09.08'!$I$4:$I$11)+SUMIF('09.08'!$J$4:$J$11,A44,'09.08'!$K$4:$K$11)+SUMIF('09.08'!$L$4:$L$11,A44,'09.08'!$M$4:$M$11)+SUMIF('09.08'!$N$4:$N$11,A44,'09.08'!$O$4:$O$11)</f>
        <v>0</v>
      </c>
      <c r="Q44" s="15">
        <f>SUMIF('10.08'!$B$4:$B$11,A44,'10.08'!$C$4:$C$11)+SUMIF('10.08'!$D$4:$D$11,A44,'10.08'!$E$4:$E$11)+SUMIF('10.08'!$F$4:$F$11,A44,'10.08'!$G$4:$G$11)+SUMIF('10.08'!$H$4:$H$11,A44,'10.08'!$I$4:$I$11)+SUMIF('10.08'!$J$4:$J$11,A44,'10.08'!$K$4:$K$11)+SUMIF('10.08'!$L$4:$L$11,A44,'10.08'!$M$4:$M$11)+SUMIF('10.08'!$N$4:$N$11,A44,'10.08'!$O$4:$O$11)</f>
        <v>2400</v>
      </c>
      <c r="R44" s="16" t="str">
        <f t="shared" si="4"/>
        <v>#N/A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</row>
    <row r="45">
      <c r="A45" s="10" t="str">
        <f>'список продуктов'!A62</f>
        <v>Яблоки (и др сезонные фрукты)</v>
      </c>
      <c r="B45" s="10" t="str">
        <f>'список продуктов'!B62</f>
        <v>кг</v>
      </c>
      <c r="C45" s="10">
        <f>'список продуктов'!C62</f>
        <v>1000</v>
      </c>
      <c r="D45" s="10" t="str">
        <f>'список продуктов'!D62</f>
        <v/>
      </c>
      <c r="E45" s="10" t="str">
        <f>'список продуктов'!E62</f>
        <v>Краткосрочный</v>
      </c>
      <c r="F45" s="21" t="str">
        <f t="shared" si="5"/>
        <v>#N/A</v>
      </c>
      <c r="G45" s="22" t="str">
        <f t="shared" si="6"/>
        <v>Введите занчения</v>
      </c>
      <c r="H45" s="19" t="str">
        <f t="shared" si="3"/>
        <v>Введите занчения</v>
      </c>
      <c r="I45" s="14">
        <f>SUMIF('02.08'!$B$4:$B$11,A45,'02.08'!$C$4:$C$11)+SUMIF('02.08'!$D$4:$D$11,A45,'02.08'!$E$4:$E$11)+SUMIF('02.08'!$F$4:$F$11,A45,'02.08'!$G$4:$G$11)+SUMIF('02.08'!$H$4:$H$11,A45,'02.08'!$I$4:$I$11)+SUMIF('02.08'!$J$4:$J$11,A45,'02.08'!$K$4:$K$11)+SUMIF('02.08'!$L$4:$L$11,A45,'02.08'!$M$4:$M$11)+SUMIF('02.08'!$N$4:$N$11,A45,'02.08'!$O$4:$O$11)</f>
        <v>0</v>
      </c>
      <c r="J45" s="15">
        <f>SUMIF('03.08'!$B$4:$B$11,A45,'03.08'!$C$4:$C$11)+SUMIF('03.08'!$D$4:$D$11,A45,'03.08'!$E$4:$E$11)+SUMIF('03.08'!$F$4:$F$11,A45,'03.08'!$G$4:$G$11)+SUMIF('03.08'!$H$4:$H$11,A45,'03.08'!$I$4:$I$11)+SUMIF('03.08'!$J$4:$J$11,A45,'03.08'!$K$4:$K$11)+SUMIF('03.08'!$L$4:$L$11,A45,'03.08'!$M$4:$M$11)+SUMIF('03.08'!$N$4:$N$11,A45,'03.08'!$O$4:$O$11)</f>
        <v>0</v>
      </c>
      <c r="K45" s="15">
        <f>SUMIF('04.08'!$B$4:$B$11,A45,'04.08'!$C$4:$C$11)+SUMIF('04.08'!$D$4:$D$11,A45,'04.08'!$E$4:$E$11)+SUMIF('04.08'!$F$4:$F$11,A45,'04.08'!$G$4:$G$11)+SUMIF('04.08'!$H$4:$H$11,A45,'04.08'!$I$4:$I$11)+SUMIF('04.08'!$J$4:$J$11,A45,'04.08'!$K$4:$K$11)+SUMIF('04.08'!$L$4:$L$11,A45,'04.08'!$M$4:$M$11)+SUMIF('04.08'!$N$4:$N$11,A45,'04.08'!$O$4:$O$11)</f>
        <v>0</v>
      </c>
      <c r="L45" s="15">
        <f>SUMIF('05.08'!$B$4:$B$11,A45,'05.08'!$C$4:$C$11)+SUMIF('05.08'!$D$4:$D$11,A45,'05.08'!$E$4:$E$11)+SUMIF('05.08'!$F$4:$F$11,A45,'05.08'!$G$4:$G$11)+SUMIF('05.08'!$H$4:$H$11,A45,'05.08'!$I$4:$I$11)+SUMIF('05.08'!$J$4:$J$11,A45,'05.08'!$K$4:$K$11)+SUMIF('05.08'!$L$4:$L$11,A45,'05.08'!$M$4:$M$11)+SUMIF('05.08'!$N$4:$N$11,A45,'05.08'!$O$4:$O$11)</f>
        <v>0</v>
      </c>
      <c r="M45" s="15">
        <f>SUMIF('06.08'!$B$4:$B$11,A45,'06.08'!$C$4:$C$11)+SUMIF('06.08'!$D$4:$D$11,A45,'06.08'!$E$4:$E$11)+SUMIF('06.08'!$F$4:$F$11,A45,'06.08'!$G$4:$G$11)+SUMIF('06.08'!$H$4:$H$11,A45,'06.08'!$I$4:$I$11)+SUMIF('06.08'!$J$4:$J$11,A45,'06.08'!$K$4:$K$11)+SUMIF('06.08'!$L$4:$L$11,A45,'06.08'!$M$4:$M$11)+SUMIF('06.08'!$N$4:$N$11,A45,'06.08'!$O$4:$O$11)</f>
        <v>0</v>
      </c>
      <c r="N45" s="15">
        <f>SUMIF('07.08'!$B$4:$B$11,A45,'07.08'!$C$4:$C$11)+SUMIF('07.08'!$D$4:$D$11,A45,'07.08'!$E$4:$E$11)+SUMIF('07.08'!$F$4:$F$11,A45,'07.08'!$G$4:$G$11)+SUMIF('07.08'!$H$4:$H$11,A45,'07.08'!$I$4:$I$11)+SUMIF('07.08'!$J$4:$J$11,A45,'07.08'!$K$4:$K$11)+SUMIF('07.08'!$L$4:$L$11,A45,'07.08'!$M$4:$M$11)+SUMIF('07.08'!$N$4:$N$11,A45,'07.08'!$O$4:$O$11)</f>
        <v>0</v>
      </c>
      <c r="O45" s="15">
        <f>SUMIF('08.08'!$B$4:$B$11,A45,'08.08'!$C$4:$C$11)+SUMIF('08.08'!$D$4:$D$11,A45,'08.08'!$E$4:$E$11)+SUMIF('08.08'!$F$4:$F$11,A45,'08.08'!$G$4:$G$11)+SUMIF('08.08'!$H$4:$H$11,A45,'08.08'!$I$4:$I$11)+SUMIF('08.08'!$J$4:$J$11,A45,'08.08'!$K$4:$K$11)+SUMIF('08.08'!$L$4:$L$11,A45,'08.08'!$M$4:$M$11)+SUMIF('08.08'!$N$4:$N$11,A45,'08.08'!$O$4:$O$11)</f>
        <v>0</v>
      </c>
      <c r="P45" s="15">
        <f>SUMIF('09.08'!$B$4:$B$11,A45,'09.08'!$C$4:$C$11)+SUMIF('09.08'!$D$4:$D$11,A45,'09.08'!$E$4:$E$11)+SUMIF('09.08'!$F$4:$F$11,A45,'09.08'!$G$4:$G$11)+SUMIF('09.08'!$H$4:$H$11,A45,'09.08'!$I$4:$I$11)+SUMIF('09.08'!$J$4:$J$11,A45,'09.08'!$K$4:$K$11)+SUMIF('09.08'!$L$4:$L$11,A45,'09.08'!$M$4:$M$11)+SUMIF('09.08'!$N$4:$N$11,A45,'09.08'!$O$4:$O$11)</f>
        <v>0</v>
      </c>
      <c r="Q45" s="15">
        <f>SUMIF('10.08'!$B$4:$B$11,A45,'10.08'!$C$4:$C$11)+SUMIF('10.08'!$D$4:$D$11,A45,'10.08'!$E$4:$E$11)+SUMIF('10.08'!$F$4:$F$11,A45,'10.08'!$G$4:$G$11)+SUMIF('10.08'!$H$4:$H$11,A45,'10.08'!$I$4:$I$11)+SUMIF('10.08'!$J$4:$J$11,A45,'10.08'!$K$4:$K$11)+SUMIF('10.08'!$L$4:$L$11,A45,'10.08'!$M$4:$M$11)+SUMIF('10.08'!$N$4:$N$11,A45,'10.08'!$O$4:$O$11)</f>
        <v>0</v>
      </c>
      <c r="R45" s="16" t="str">
        <f t="shared" si="4"/>
        <v>#N/A</v>
      </c>
      <c r="S45" s="8"/>
      <c r="T45" s="8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>
      <c r="A46" s="10" t="str">
        <f>'список продуктов'!A63</f>
        <v>Яйца (30 шт)</v>
      </c>
      <c r="B46" s="10" t="str">
        <f>'список продуктов'!B63</f>
        <v>пачка</v>
      </c>
      <c r="C46" s="10">
        <f>'список продуктов'!C63</f>
        <v>900</v>
      </c>
      <c r="D46" s="10" t="str">
        <f>'список продуктов'!D63</f>
        <v/>
      </c>
      <c r="E46" s="10" t="str">
        <f>'список продуктов'!E63</f>
        <v>Краткосрочный</v>
      </c>
      <c r="F46" s="21" t="str">
        <f t="shared" si="5"/>
        <v>#N/A</v>
      </c>
      <c r="G46" s="22" t="str">
        <f t="shared" si="6"/>
        <v>Введите занчения</v>
      </c>
      <c r="H46" s="19" t="str">
        <f t="shared" si="3"/>
        <v>Введите занчения</v>
      </c>
      <c r="I46" s="14">
        <f>SUMIF('02.08'!$B$4:$B$11,A46,'02.08'!$C$4:$C$11)+SUMIF('02.08'!$D$4:$D$11,A46,'02.08'!$E$4:$E$11)+SUMIF('02.08'!$F$4:$F$11,A46,'02.08'!$G$4:$G$11)+SUMIF('02.08'!$H$4:$H$11,A46,'02.08'!$I$4:$I$11)+SUMIF('02.08'!$J$4:$J$11,A46,'02.08'!$K$4:$K$11)+SUMIF('02.08'!$L$4:$L$11,A46,'02.08'!$M$4:$M$11)+SUMIF('02.08'!$N$4:$N$11,A46,'02.08'!$O$4:$O$11)</f>
        <v>0</v>
      </c>
      <c r="J46" s="15">
        <f>SUMIF('03.08'!$B$4:$B$11,A46,'03.08'!$C$4:$C$11)+SUMIF('03.08'!$D$4:$D$11,A46,'03.08'!$E$4:$E$11)+SUMIF('03.08'!$F$4:$F$11,A46,'03.08'!$G$4:$G$11)+SUMIF('03.08'!$H$4:$H$11,A46,'03.08'!$I$4:$I$11)+SUMIF('03.08'!$J$4:$J$11,A46,'03.08'!$K$4:$K$11)+SUMIF('03.08'!$L$4:$L$11,A46,'03.08'!$M$4:$M$11)+SUMIF('03.08'!$N$4:$N$11,A46,'03.08'!$O$4:$O$11)</f>
        <v>0</v>
      </c>
      <c r="K46" s="15">
        <f>SUMIF('04.08'!$B$4:$B$11,A46,'04.08'!$C$4:$C$11)+SUMIF('04.08'!$D$4:$D$11,A46,'04.08'!$E$4:$E$11)+SUMIF('04.08'!$F$4:$F$11,A46,'04.08'!$G$4:$G$11)+SUMIF('04.08'!$H$4:$H$11,A46,'04.08'!$I$4:$I$11)+SUMIF('04.08'!$J$4:$J$11,A46,'04.08'!$K$4:$K$11)+SUMIF('04.08'!$L$4:$L$11,A46,'04.08'!$M$4:$M$11)+SUMIF('04.08'!$N$4:$N$11,A46,'04.08'!$O$4:$O$11)</f>
        <v>0</v>
      </c>
      <c r="L46" s="15">
        <f>SUMIF('05.08'!$B$4:$B$11,A46,'05.08'!$C$4:$C$11)+SUMIF('05.08'!$D$4:$D$11,A46,'05.08'!$E$4:$E$11)+SUMIF('05.08'!$F$4:$F$11,A46,'05.08'!$G$4:$G$11)+SUMIF('05.08'!$H$4:$H$11,A46,'05.08'!$I$4:$I$11)+SUMIF('05.08'!$J$4:$J$11,A46,'05.08'!$K$4:$K$11)+SUMIF('05.08'!$L$4:$L$11,A46,'05.08'!$M$4:$M$11)+SUMIF('05.08'!$N$4:$N$11,A46,'05.08'!$O$4:$O$11)</f>
        <v>0</v>
      </c>
      <c r="M46" s="15">
        <f>SUMIF('06.08'!$B$4:$B$11,A46,'06.08'!$C$4:$C$11)+SUMIF('06.08'!$D$4:$D$11,A46,'06.08'!$E$4:$E$11)+SUMIF('06.08'!$F$4:$F$11,A46,'06.08'!$G$4:$G$11)+SUMIF('06.08'!$H$4:$H$11,A46,'06.08'!$I$4:$I$11)+SUMIF('06.08'!$J$4:$J$11,A46,'06.08'!$K$4:$K$11)+SUMIF('06.08'!$L$4:$L$11,A46,'06.08'!$M$4:$M$11)+SUMIF('06.08'!$N$4:$N$11,A46,'06.08'!$O$4:$O$11)</f>
        <v>0</v>
      </c>
      <c r="N46" s="15">
        <f>SUMIF('07.08'!$B$4:$B$11,A46,'07.08'!$C$4:$C$11)+SUMIF('07.08'!$D$4:$D$11,A46,'07.08'!$E$4:$E$11)+SUMIF('07.08'!$F$4:$F$11,A46,'07.08'!$G$4:$G$11)+SUMIF('07.08'!$H$4:$H$11,A46,'07.08'!$I$4:$I$11)+SUMIF('07.08'!$J$4:$J$11,A46,'07.08'!$K$4:$K$11)+SUMIF('07.08'!$L$4:$L$11,A46,'07.08'!$M$4:$M$11)+SUMIF('07.08'!$N$4:$N$11,A46,'07.08'!$O$4:$O$11)</f>
        <v>0</v>
      </c>
      <c r="O46" s="15">
        <f>SUMIF('08.08'!$B$4:$B$11,A46,'08.08'!$C$4:$C$11)+SUMIF('08.08'!$D$4:$D$11,A46,'08.08'!$E$4:$E$11)+SUMIF('08.08'!$F$4:$F$11,A46,'08.08'!$G$4:$G$11)+SUMIF('08.08'!$H$4:$H$11,A46,'08.08'!$I$4:$I$11)+SUMIF('08.08'!$J$4:$J$11,A46,'08.08'!$K$4:$K$11)+SUMIF('08.08'!$L$4:$L$11,A46,'08.08'!$M$4:$M$11)+SUMIF('08.08'!$N$4:$N$11,A46,'08.08'!$O$4:$O$11)</f>
        <v>0</v>
      </c>
      <c r="P46" s="15">
        <f>SUMIF('09.08'!$B$4:$B$11,A46,'09.08'!$C$4:$C$11)+SUMIF('09.08'!$D$4:$D$11,A46,'09.08'!$E$4:$E$11)+SUMIF('09.08'!$F$4:$F$11,A46,'09.08'!$G$4:$G$11)+SUMIF('09.08'!$H$4:$H$11,A46,'09.08'!$I$4:$I$11)+SUMIF('09.08'!$J$4:$J$11,A46,'09.08'!$K$4:$K$11)+SUMIF('09.08'!$L$4:$L$11,A46,'09.08'!$M$4:$M$11)+SUMIF('09.08'!$N$4:$N$11,A46,'09.08'!$O$4:$O$11)</f>
        <v>0</v>
      </c>
      <c r="Q46" s="15">
        <f>SUMIF('10.08'!$B$4:$B$11,A46,'10.08'!$C$4:$C$11)+SUMIF('10.08'!$D$4:$D$11,A46,'10.08'!$E$4:$E$11)+SUMIF('10.08'!$F$4:$F$11,A46,'10.08'!$G$4:$G$11)+SUMIF('10.08'!$H$4:$H$11,A46,'10.08'!$I$4:$I$11)+SUMIF('10.08'!$J$4:$J$11,A46,'10.08'!$K$4:$K$11)+SUMIF('10.08'!$L$4:$L$11,A46,'10.08'!$M$4:$M$11)+SUMIF('10.08'!$N$4:$N$11,A46,'10.08'!$O$4:$O$11)</f>
        <v>0</v>
      </c>
      <c r="R46" s="16" t="str">
        <f t="shared" si="4"/>
        <v>#N/A</v>
      </c>
      <c r="S46" s="8"/>
      <c r="T46" s="8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>
      <c r="A47" s="23" t="s">
        <v>7</v>
      </c>
      <c r="B47" s="23" t="str">
        <f>VLOOKUP(A47,'список продуктов'!$A$3:$E$77,2,0)</f>
        <v>бутылка</v>
      </c>
      <c r="C47" s="23">
        <f>VLOOKUP(A47,'список продуктов'!$A$3:$E$77,3,0)</f>
        <v>5000</v>
      </c>
      <c r="D47" s="23" t="str">
        <f>VLOOKUP(A47,'список продуктов'!$A$3:$E$77,4,0)</f>
        <v/>
      </c>
      <c r="E47" s="24" t="s">
        <v>8</v>
      </c>
      <c r="F47" s="25">
        <v>150.0</v>
      </c>
      <c r="G47" s="26">
        <f t="shared" si="6"/>
        <v>1</v>
      </c>
      <c r="H47" s="27">
        <f t="shared" si="3"/>
        <v>0</v>
      </c>
      <c r="I47" s="28">
        <f>SUMIF('02.08'!$P$3:$P$11,A47,'02.08'!$Q$3:$Q$11)</f>
        <v>130</v>
      </c>
      <c r="J47" s="29">
        <f>SUMIF('03.08'!$P$3:$P$10,A47,'03.08'!$Q$3:$Q$10)</f>
        <v>130</v>
      </c>
      <c r="K47" s="29">
        <f>SUMIF('04.08'!$P$3:$P$11,A47,'04.08'!$Q$3:$Q$11)</f>
        <v>130</v>
      </c>
      <c r="L47" s="29">
        <f>SUMIF('05.08'!$P$3:$P$11,A47,'05.08'!$Q$3:$Q$11)</f>
        <v>130</v>
      </c>
      <c r="M47" s="29">
        <f>SUMIF('06.08'!$P$3:$P$11,A47,'06.08'!Q$3:Q$11)</f>
        <v>130</v>
      </c>
      <c r="N47" s="29">
        <f>SUMIF('07.08'!$P$3:$P$11,A47,'07.08'!$Q$3:$Q$11)</f>
        <v>130</v>
      </c>
      <c r="O47" s="29">
        <f>SUMIF('08.08'!$P$3:$P$11,A47,'08.08'!$Q$3:$Q$11)</f>
        <v>130</v>
      </c>
      <c r="P47" s="29">
        <f>SUMIF('09.08'!$P$3:$P$11,A47,'09.08'!$Q$3:$Q$11)</f>
        <v>130</v>
      </c>
      <c r="Q47" s="29">
        <f>SUMIF('10.08'!$P$3:$P$11,A47,'10.08'!$Q$3:$Q$11)</f>
        <v>0</v>
      </c>
      <c r="R47" s="30" t="str">
        <f>SUMIF('11.08'!$P$3:$P$11,A47,'11.08'!$Q$3:$Q$11)</f>
        <v>#N/A</v>
      </c>
      <c r="S47" s="29" t="str">
        <f>SUM(I47:R47)</f>
        <v>#N/A</v>
      </c>
      <c r="T47" s="29" t="str">
        <f>S47/5</f>
        <v>#N/A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>
      <c r="A48" s="10" t="s">
        <v>9</v>
      </c>
      <c r="B48" s="31" t="str">
        <f>VLOOKUP(A48,'список продуктов'!$A$3:$E$77,2,0)</f>
        <v>кг</v>
      </c>
      <c r="C48" s="31">
        <f>VLOOKUP(A48,'список продуктов'!$A$3:$E$77,3,0)</f>
        <v>1000</v>
      </c>
      <c r="D48" s="31" t="str">
        <f>VLOOKUP(A48,'список продуктов'!$A$3:$E$77,4,0)</f>
        <v/>
      </c>
      <c r="E48" s="10" t="s">
        <v>8</v>
      </c>
      <c r="F48" s="32" t="str">
        <f t="shared" ref="F48:F54" si="7">SUM(I48:R48)</f>
        <v>#N/A</v>
      </c>
      <c r="G48" s="21" t="str">
        <f t="shared" si="6"/>
        <v>Введите занчения</v>
      </c>
      <c r="H48" s="19" t="str">
        <f t="shared" si="3"/>
        <v>Введите занчения</v>
      </c>
      <c r="I48" s="14">
        <f>SUMIF('02.08'!$P$4:$P$11,A48,'02.08'!$Q$4:$Q$11)</f>
        <v>0</v>
      </c>
      <c r="J48" s="15">
        <f>SUMIF('03.08'!$P$4:$P$10,A48,'03.08'!$Q$4:$Q$10)</f>
        <v>0</v>
      </c>
      <c r="K48" s="15">
        <f>SUMIF('04.08'!$P$4:$P$11,A48,'04.08'!$Q$4:$Q$11)</f>
        <v>0</v>
      </c>
      <c r="L48" s="15">
        <f>SUMIF('05.08'!$P$4:$P$11,A48,'05.08'!$Q$4:$Q$11)</f>
        <v>0</v>
      </c>
      <c r="M48" s="15">
        <f>SUMIF('06.08'!$P$4:$P$11,A48,'06.08'!Q$4:Q$11)</f>
        <v>0</v>
      </c>
      <c r="N48" s="15">
        <f>SUMIF('07.08'!$P$4:$P$11,A48,'07.08'!$Q$4:$Q$11)</f>
        <v>0</v>
      </c>
      <c r="O48" s="15">
        <f>SUMIF('08.08'!$P$4:$P$11,A48,'08.08'!$Q$4:$Q$11)</f>
        <v>0</v>
      </c>
      <c r="P48" s="15">
        <f>SUMIF('09.08'!$P$4:$P$11,A48,'09.08'!$Q$4:$Q$11)</f>
        <v>0</v>
      </c>
      <c r="Q48" s="15">
        <f>SUMIF('10.08'!$P$4:$P$11,A48,'10.08'!$Q$4:$Q$11)</f>
        <v>0</v>
      </c>
      <c r="R48" s="16" t="str">
        <f t="shared" ref="R48:R54" si="8">SUMIF('11.08'!$P$5:$P$11,A48,'11.08'!$Q$5:$Q$11)</f>
        <v>#N/A</v>
      </c>
      <c r="S48" s="8"/>
      <c r="T48" s="8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>
      <c r="A49" s="10" t="s">
        <v>10</v>
      </c>
      <c r="B49" s="31" t="str">
        <f>VLOOKUP(A49,'список продуктов'!$A$3:$E$77,2,0)</f>
        <v>банка</v>
      </c>
      <c r="C49" s="31" t="str">
        <f>VLOOKUP(A49,'список продуктов'!$A$3:$E$77,3,0)</f>
        <v/>
      </c>
      <c r="D49" s="31" t="str">
        <f>VLOOKUP(A49,'список продуктов'!$A$3:$E$77,4,0)</f>
        <v/>
      </c>
      <c r="E49" s="10" t="s">
        <v>8</v>
      </c>
      <c r="F49" s="32" t="str">
        <f t="shared" si="7"/>
        <v>#N/A</v>
      </c>
      <c r="G49" s="21" t="str">
        <f t="shared" si="6"/>
        <v>Введите занчения</v>
      </c>
      <c r="H49" s="19" t="str">
        <f t="shared" si="3"/>
        <v>Введите занчения</v>
      </c>
      <c r="I49" s="14">
        <f>SUMIF('02.08'!$P$4:$P$11,A49,'02.08'!$Q$4:$Q$11)</f>
        <v>100</v>
      </c>
      <c r="J49" s="15">
        <f>SUMIF('03.08'!$P$4:$P$10,A49,'03.08'!$Q$4:$Q$10)</f>
        <v>100</v>
      </c>
      <c r="K49" s="15">
        <f>SUMIF('04.08'!$P$4:$P$11,A49,'04.08'!$Q$4:$Q$11)</f>
        <v>100</v>
      </c>
      <c r="L49" s="15">
        <f>SUMIF('05.08'!$P$4:$P$11,A49,'05.08'!$Q$4:$Q$11)</f>
        <v>100</v>
      </c>
      <c r="M49" s="15">
        <f>SUMIF('06.08'!$P$4:$P$11,A49,'06.08'!Q$4:Q$11)</f>
        <v>100</v>
      </c>
      <c r="N49" s="15">
        <f>SUMIF('07.08'!$P$4:$P$11,A49,'07.08'!$Q$4:$Q$11)</f>
        <v>100</v>
      </c>
      <c r="O49" s="15">
        <f>SUMIF('08.08'!$P$4:$P$11,A49,'08.08'!$Q$4:$Q$11)</f>
        <v>100</v>
      </c>
      <c r="P49" s="15">
        <f>SUMIF('09.08'!$P$4:$P$11,A49,'09.08'!$Q$4:$Q$11)</f>
        <v>100</v>
      </c>
      <c r="Q49" s="15">
        <f>SUMIF('10.08'!$P$4:$P$11,A49,'10.08'!$Q$4:$Q$11)</f>
        <v>0</v>
      </c>
      <c r="R49" s="16" t="str">
        <f t="shared" si="8"/>
        <v>#N/A</v>
      </c>
      <c r="S49" s="8"/>
      <c r="T49" s="8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>
      <c r="A50" s="10" t="s">
        <v>11</v>
      </c>
      <c r="B50" s="31" t="str">
        <f>VLOOKUP(A50,'список продуктов'!$A$3:$E$77,2,0)</f>
        <v>кг</v>
      </c>
      <c r="C50" s="31" t="str">
        <f>VLOOKUP(A50,'список продуктов'!$A$3:$E$77,3,0)</f>
        <v>0,9/825г</v>
      </c>
      <c r="D50" s="31" t="str">
        <f>VLOOKUP(A50,'список продуктов'!$A$3:$E$77,4,0)</f>
        <v/>
      </c>
      <c r="E50" s="10" t="s">
        <v>8</v>
      </c>
      <c r="F50" s="32" t="str">
        <f t="shared" si="7"/>
        <v>#N/A</v>
      </c>
      <c r="G50" s="21" t="str">
        <f t="shared" si="6"/>
        <v>Введите занчения</v>
      </c>
      <c r="H50" s="19" t="str">
        <f t="shared" si="3"/>
        <v>Введите занчения</v>
      </c>
      <c r="I50" s="14">
        <f>SUMIF('02.08'!$P$4:$P$11,A50,'02.08'!$Q$4:$Q$11)</f>
        <v>500</v>
      </c>
      <c r="J50" s="15">
        <f>SUMIF('03.08'!$P$4:$P$10,A50,'03.08'!$Q$4:$Q$10)</f>
        <v>500</v>
      </c>
      <c r="K50" s="15">
        <f>SUMIF('04.08'!$P$4:$P$11,A50,'04.08'!$Q$4:$Q$11)</f>
        <v>500</v>
      </c>
      <c r="L50" s="15">
        <f>SUMIF('05.08'!$P$4:$P$11,A50,'05.08'!$Q$4:$Q$11)</f>
        <v>500</v>
      </c>
      <c r="M50" s="15">
        <f>SUMIF('06.08'!$P$4:$P$11,A50,'06.08'!Q$4:Q$11)</f>
        <v>500</v>
      </c>
      <c r="N50" s="15">
        <f>SUMIF('07.08'!$P$4:$P$11,A50,'07.08'!$Q$4:$Q$11)</f>
        <v>500</v>
      </c>
      <c r="O50" s="15">
        <f>SUMIF('08.08'!$P$4:$P$11,A50,'08.08'!$Q$4:$Q$11)</f>
        <v>500</v>
      </c>
      <c r="P50" s="15">
        <f>SUMIF('09.08'!$P$4:$P$11,A50,'09.08'!$Q$4:$Q$11)</f>
        <v>500</v>
      </c>
      <c r="Q50" s="15">
        <f>SUMIF('10.08'!$P$4:$P$11,A50,'10.08'!$Q$4:$Q$11)</f>
        <v>0</v>
      </c>
      <c r="R50" s="16" t="str">
        <f t="shared" si="8"/>
        <v>#N/A</v>
      </c>
      <c r="S50" s="8"/>
      <c r="T50" s="8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>
      <c r="A51" s="10" t="s">
        <v>12</v>
      </c>
      <c r="B51" s="31" t="str">
        <f>VLOOKUP(A51,'список продуктов'!$A$3:$E$77,2,0)</f>
        <v>упаковка</v>
      </c>
      <c r="C51" s="31" t="str">
        <f>VLOOKUP(A51,'список продуктов'!$A$3:$E$77,3,0)</f>
        <v/>
      </c>
      <c r="D51" s="31" t="str">
        <f>VLOOKUP(A51,'список продуктов'!$A$3:$E$77,4,0)</f>
        <v/>
      </c>
      <c r="E51" s="10" t="s">
        <v>8</v>
      </c>
      <c r="F51" s="32" t="str">
        <f t="shared" si="7"/>
        <v>#N/A</v>
      </c>
      <c r="G51" s="21" t="str">
        <f t="shared" si="6"/>
        <v>Введите занчения</v>
      </c>
      <c r="H51" s="19" t="str">
        <f t="shared" si="3"/>
        <v>Введите занчения</v>
      </c>
      <c r="I51" s="14">
        <f>SUMIF('02.08'!$P$4:$P$11,A51,'02.08'!$Q$4:$Q$11)</f>
        <v>20</v>
      </c>
      <c r="J51" s="15">
        <f>SUMIF('03.08'!$P$4:$P$10,A51,'03.08'!$Q$4:$Q$10)</f>
        <v>20</v>
      </c>
      <c r="K51" s="15">
        <f>SUMIF('04.08'!$P$4:$P$11,A51,'04.08'!$Q$4:$Q$11)</f>
        <v>20</v>
      </c>
      <c r="L51" s="15">
        <f>SUMIF('05.08'!$P$4:$P$11,A51,'05.08'!$Q$4:$Q$11)</f>
        <v>20</v>
      </c>
      <c r="M51" s="15">
        <f>SUMIF('06.08'!$P$4:$P$11,A51,'06.08'!Q$4:Q$11)</f>
        <v>20</v>
      </c>
      <c r="N51" s="15">
        <f>SUMIF('07.08'!$P$4:$P$11,A51,'07.08'!$Q$4:$Q$11)</f>
        <v>20</v>
      </c>
      <c r="O51" s="15">
        <f>SUMIF('08.08'!$P$4:$P$11,A51,'08.08'!$Q$4:$Q$11)</f>
        <v>20</v>
      </c>
      <c r="P51" s="15">
        <f>SUMIF('09.08'!$P$4:$P$11,A51,'09.08'!$Q$4:$Q$11)</f>
        <v>20</v>
      </c>
      <c r="Q51" s="15">
        <f>SUMIF('10.08'!$P$4:$P$11,A51,'10.08'!$Q$4:$Q$11)</f>
        <v>0</v>
      </c>
      <c r="R51" s="16" t="str">
        <f t="shared" si="8"/>
        <v>#N/A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</row>
    <row r="52">
      <c r="A52" s="10" t="s">
        <v>13</v>
      </c>
      <c r="B52" s="31" t="str">
        <f>VLOOKUP(A52,'список продуктов'!$A$3:$E$77,2,0)</f>
        <v>банка</v>
      </c>
      <c r="C52" s="31" t="str">
        <f>VLOOKUP(A52,'список продуктов'!$A$3:$E$77,3,0)</f>
        <v/>
      </c>
      <c r="D52" s="31" t="str">
        <f>VLOOKUP(A52,'список продуктов'!$A$3:$E$77,4,0)</f>
        <v/>
      </c>
      <c r="E52" s="10" t="s">
        <v>8</v>
      </c>
      <c r="F52" s="32" t="str">
        <f t="shared" si="7"/>
        <v>#N/A</v>
      </c>
      <c r="G52" s="21" t="str">
        <f t="shared" si="6"/>
        <v>Введите занчения</v>
      </c>
      <c r="H52" s="19" t="str">
        <f t="shared" si="3"/>
        <v>Введите занчения</v>
      </c>
      <c r="I52" s="14">
        <f>SUMIF('02.08'!$P$4:$P$11,A52,'02.08'!$Q$4:$Q$11)</f>
        <v>20</v>
      </c>
      <c r="J52" s="15">
        <f>SUMIF('03.08'!$P$4:$P$10,A52,'03.08'!$Q$4:$Q$10)</f>
        <v>20</v>
      </c>
      <c r="K52" s="15">
        <f>SUMIF('04.08'!$P$4:$P$11,A52,'04.08'!$Q$4:$Q$11)</f>
        <v>20</v>
      </c>
      <c r="L52" s="15">
        <f>SUMIF('05.08'!$P$4:$P$11,A52,'05.08'!$Q$4:$Q$11)</f>
        <v>20</v>
      </c>
      <c r="M52" s="15">
        <f>SUMIF('06.08'!$P$4:$P$11,A52,'06.08'!Q$4:Q$11)</f>
        <v>20</v>
      </c>
      <c r="N52" s="15">
        <f>SUMIF('07.08'!$P$4:$P$11,A52,'07.08'!$Q$4:$Q$11)</f>
        <v>20</v>
      </c>
      <c r="O52" s="15">
        <f>SUMIF('08.08'!$P$4:$P$11,A52,'08.08'!$Q$4:$Q$11)</f>
        <v>20</v>
      </c>
      <c r="P52" s="15">
        <f>SUMIF('09.08'!$P$4:$P$11,A52,'09.08'!$Q$4:$Q$11)</f>
        <v>20</v>
      </c>
      <c r="Q52" s="15">
        <f>SUMIF('10.08'!$P$4:$P$11,A52,'10.08'!$Q$4:$Q$11)</f>
        <v>0</v>
      </c>
      <c r="R52" s="16" t="str">
        <f t="shared" si="8"/>
        <v>#N/A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</row>
    <row r="53">
      <c r="A53" s="10" t="s">
        <v>14</v>
      </c>
      <c r="B53" s="31" t="str">
        <f>VLOOKUP(A53,'список продуктов'!$A$3:$E$77,2,0)</f>
        <v>батон</v>
      </c>
      <c r="C53" s="31" t="str">
        <f>VLOOKUP(A53,'список продуктов'!$A$3:$E$77,3,0)</f>
        <v/>
      </c>
      <c r="D53" s="31" t="str">
        <f>VLOOKUP(A53,'список продуктов'!$A$3:$E$77,4,0)</f>
        <v/>
      </c>
      <c r="E53" s="10" t="s">
        <v>15</v>
      </c>
      <c r="F53" s="32" t="str">
        <f t="shared" si="7"/>
        <v>#N/A</v>
      </c>
      <c r="G53" s="21" t="str">
        <f t="shared" si="6"/>
        <v>Введите занчения</v>
      </c>
      <c r="H53" s="19" t="str">
        <f t="shared" si="3"/>
        <v>Введите занчения</v>
      </c>
      <c r="I53" s="14">
        <f>SUMIF('02.08'!$P$4:$P$11,A53,'02.08'!$Q$4:$Q$11)</f>
        <v>2400</v>
      </c>
      <c r="J53" s="15">
        <f>SUMIF('03.08'!$P$4:$P$10,A53,'03.08'!$Q$4:$Q$10)</f>
        <v>2400</v>
      </c>
      <c r="K53" s="15">
        <f>SUMIF('04.08'!$P$4:$P$11,A53,'04.08'!$Q$4:$Q$11)</f>
        <v>2400</v>
      </c>
      <c r="L53" s="15">
        <f>SUMIF('05.08'!$P$4:$P$11,A53,'05.08'!$Q$4:$Q$11)</f>
        <v>2400</v>
      </c>
      <c r="M53" s="15">
        <f>SUMIF('06.08'!$P$4:$P$11,A53,'06.08'!Q$4:Q$11)</f>
        <v>2400</v>
      </c>
      <c r="N53" s="15">
        <f>SUMIF('07.08'!$P$4:$P$11,A53,'07.08'!$Q$4:$Q$11)</f>
        <v>2400</v>
      </c>
      <c r="O53" s="15">
        <f>SUMIF('08.08'!$P$4:$P$11,A53,'08.08'!$Q$4:$Q$11)</f>
        <v>2400</v>
      </c>
      <c r="P53" s="15">
        <f>SUMIF('09.08'!$P$4:$P$11,A53,'09.08'!$Q$4:$Q$11)</f>
        <v>2400</v>
      </c>
      <c r="Q53" s="15">
        <f>SUMIF('10.08'!$P$4:$P$11,A53,'10.08'!$Q$4:$Q$11)</f>
        <v>0</v>
      </c>
      <c r="R53" s="16" t="str">
        <f t="shared" si="8"/>
        <v>#N/A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</row>
    <row r="54">
      <c r="A54" s="33" t="s">
        <v>16</v>
      </c>
      <c r="B54" s="34" t="str">
        <f>VLOOKUP(A54,'список продуктов'!$A$3:$E$77,2,0)</f>
        <v>пачка</v>
      </c>
      <c r="C54" s="34" t="str">
        <f>VLOOKUP(A54,'список продуктов'!$A$3:$E$77,3,0)</f>
        <v/>
      </c>
      <c r="D54" s="34" t="str">
        <f>VLOOKUP(A54,'список продуктов'!$A$3:$E$77,4,0)</f>
        <v/>
      </c>
      <c r="E54" s="10" t="s">
        <v>8</v>
      </c>
      <c r="F54" s="35" t="str">
        <f t="shared" si="7"/>
        <v>#N/A</v>
      </c>
      <c r="G54" s="21" t="str">
        <f t="shared" si="6"/>
        <v>Введите занчения</v>
      </c>
      <c r="H54" s="19" t="str">
        <f t="shared" si="3"/>
        <v>Введите занчения</v>
      </c>
      <c r="I54" s="14">
        <f>SUMIF('02.08'!$P$4:$P$11,A54,'02.08'!$Q$4:$Q$11)</f>
        <v>120</v>
      </c>
      <c r="J54" s="15">
        <f>SUMIF('03.08'!$P$4:$P$10,A54,'03.08'!$Q$4:$Q$10)</f>
        <v>120</v>
      </c>
      <c r="K54" s="15">
        <f>SUMIF('04.08'!$P$4:$P$11,A54,'04.08'!$Q$4:$Q$11)</f>
        <v>120</v>
      </c>
      <c r="L54" s="15">
        <f>SUMIF('05.08'!$P$4:$P$11,A54,'05.08'!$Q$4:$Q$11)</f>
        <v>120</v>
      </c>
      <c r="M54" s="15">
        <f>SUMIF('06.08'!$P$4:$P$11,A54,'06.08'!Q$4:Q$11)</f>
        <v>120</v>
      </c>
      <c r="N54" s="15">
        <f>SUMIF('07.08'!$P$4:$P$11,A54,'07.08'!$Q$4:$Q$11)</f>
        <v>120</v>
      </c>
      <c r="O54" s="15">
        <f>SUMIF('08.08'!$P$4:$P$11,A54,'08.08'!$Q$4:$Q$11)</f>
        <v>120</v>
      </c>
      <c r="P54" s="15">
        <f>SUMIF('09.08'!$P$4:$P$11,A54,'09.08'!$Q$4:$Q$11)</f>
        <v>120</v>
      </c>
      <c r="Q54" s="15">
        <f>SUMIF('10.08'!$P$4:$P$11,A54,'10.08'!$Q$4:$Q$11)</f>
        <v>0</v>
      </c>
      <c r="R54" s="16" t="str">
        <f t="shared" si="8"/>
        <v>#N/A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>
      <c r="A55" s="10" t="s">
        <v>17</v>
      </c>
      <c r="B55" s="10" t="s">
        <v>18</v>
      </c>
      <c r="C55" s="10">
        <v>25.0</v>
      </c>
      <c r="D55" s="10">
        <v>100.0</v>
      </c>
      <c r="E55" s="10" t="s">
        <v>8</v>
      </c>
      <c r="F55" s="36">
        <v>150.0</v>
      </c>
      <c r="G55" s="22">
        <f t="shared" si="6"/>
        <v>6</v>
      </c>
      <c r="H55" s="19">
        <f t="shared" si="3"/>
        <v>600</v>
      </c>
      <c r="I55" s="14">
        <f>SUMIF('02.08'!$B$4:$B$11,A55,'02.08'!$C$4:$C$11)+SUMIF('02.08'!$D$4:$D$11,A55,'02.08'!$E$4:$E$11)+SUMIF('02.08'!$F$4:$F$11,A55,'02.08'!$G$4:$G$11)+SUMIF('02.08'!$H$4:$H$11,A55,'02.08'!$I$4:$I$11)+SUMIF('02.08'!$J$4:$J$11,A55,'02.08'!$K$4:$K$11)+SUMIF('02.08'!$L$4:$L$11,A55,'02.08'!$M$4:$M$11)+SUMIF('02.08'!$N$4:$N$11,A55,'02.08'!$O$4:$O$11)</f>
        <v>0</v>
      </c>
      <c r="J55" s="15">
        <f>SUMIF('03.08'!$B$4:$B$11,A55,'03.08'!$C$4:$C$11)+SUMIF('03.08'!$D$4:$D$11,A55,'03.08'!$E$4:$E$11)+SUMIF('03.08'!$F$4:$F$11,A55,'03.08'!$G$4:$G$11)+SUMIF('03.08'!$H$4:$H$11,A55,'03.08'!$I$4:$I$11)+SUMIF('03.08'!$J$4:$J$11,A55,'03.08'!$K$4:$K$11)+SUMIF('03.08'!$L$4:$L$11,A55,'03.08'!$M$4:$M$11)+SUMIF('03.08'!$N$4:$N$11,A55,'03.08'!$O$4:$O$11)</f>
        <v>0</v>
      </c>
      <c r="K55" s="15">
        <f>SUMIF('04.08'!$B$4:$B$11,A55,'04.08'!$C$4:$C$11)+SUMIF('04.08'!$D$4:$D$11,A55,'04.08'!$E$4:$E$11)+SUMIF('04.08'!$F$4:$F$11,A55,'04.08'!$G$4:$G$11)+SUMIF('04.08'!$H$4:$H$11,A55,'04.08'!$I$4:$I$11)+SUMIF('04.08'!$J$4:$J$11,A55,'04.08'!$K$4:$K$11)+SUMIF('04.08'!$L$4:$L$11,A55,'04.08'!$M$4:$M$11)+SUMIF('04.08'!$N$4:$N$11,A55,'04.08'!$O$4:$O$11)</f>
        <v>0</v>
      </c>
      <c r="L55" s="15">
        <f>SUMIF('05.08'!$B$4:$B$11,A55,'05.08'!$C$4:$C$11)+SUMIF('05.08'!$D$4:$D$11,A55,'05.08'!$E$4:$E$11)+SUMIF('05.08'!$F$4:$F$11,A55,'05.08'!$G$4:$G$11)+SUMIF('05.08'!$H$4:$H$11,A55,'05.08'!$I$4:$I$11)+SUMIF('05.08'!$J$4:$J$11,A55,'05.08'!$K$4:$K$11)+SUMIF('05.08'!$L$4:$L$11,A55,'05.08'!$M$4:$M$11)+SUMIF('05.08'!$N$4:$N$11,A55,'05.08'!$O$4:$O$11)</f>
        <v>0</v>
      </c>
      <c r="M55" s="15">
        <f>SUMIF('06.08'!$B$4:$B$11,A55,'06.08'!$C$4:$C$11)+SUMIF('06.08'!$D$4:$D$11,A55,'06.08'!$E$4:$E$11)+SUMIF('06.08'!$F$4:$F$11,A55,'06.08'!$G$4:$G$11)+SUMIF('06.08'!$H$4:$H$11,A55,'06.08'!$I$4:$I$11)+SUMIF('06.08'!$J$4:$J$11,A55,'06.08'!$K$4:$K$11)+SUMIF('06.08'!$L$4:$L$11,A55,'06.08'!$M$4:$M$11)+SUMIF('06.08'!$N$4:$N$11,A55,'06.08'!$O$4:$O$11)</f>
        <v>0</v>
      </c>
      <c r="N55" s="15">
        <f>SUMIF('07.08'!$B$4:$B$11,A55,'07.08'!$C$4:$C$11)+SUMIF('07.08'!$D$4:$D$11,A55,'07.08'!$E$4:$E$11)+SUMIF('07.08'!$F$4:$F$11,A55,'07.08'!$G$4:$G$11)+SUMIF('07.08'!$H$4:$H$11,A55,'07.08'!$I$4:$I$11)+SUMIF('07.08'!$J$4:$J$11,A55,'07.08'!$K$4:$K$11)+SUMIF('07.08'!$L$4:$L$11,A55,'07.08'!$M$4:$M$11)+SUMIF('07.08'!$N$4:$N$11,A55,'07.08'!$O$4:$O$11)</f>
        <v>0</v>
      </c>
      <c r="O55" s="15">
        <f>SUMIF('08.08'!$B$4:$B$11,A55,'08.08'!$C$4:$C$11)+SUMIF('08.08'!$D$4:$D$11,A55,'08.08'!$E$4:$E$11)+SUMIF('08.08'!$F$4:$F$11,A55,'08.08'!$G$4:$G$11)+SUMIF('08.08'!$H$4:$H$11,A55,'08.08'!$I$4:$I$11)+SUMIF('08.08'!$J$4:$J$11,A55,'08.08'!$K$4:$K$11)+SUMIF('08.08'!$L$4:$L$11,A55,'08.08'!$M$4:$M$11)+SUMIF('08.08'!$N$4:$N$11,A55,'08.08'!$O$4:$O$11)</f>
        <v>0</v>
      </c>
      <c r="P55" s="15">
        <f>SUMIF('09.08'!$B$4:$B$11,A55,'09.08'!$C$4:$C$11)+SUMIF('09.08'!$D$4:$D$11,A55,'09.08'!$E$4:$E$11)+SUMIF('09.08'!$F$4:$F$11,A55,'09.08'!$G$4:$G$11)+SUMIF('09.08'!$H$4:$H$11,A55,'09.08'!$I$4:$I$11)+SUMIF('09.08'!$J$4:$J$11,A55,'09.08'!$K$4:$K$11)+SUMIF('09.08'!$L$4:$L$11,A55,'09.08'!$M$4:$M$11)+SUMIF('09.08'!$N$4:$N$11,A55,'09.08'!$O$4:$O$11)</f>
        <v>0</v>
      </c>
      <c r="Q55" s="15">
        <f>SUMIF('10.08'!$B$4:$B$11,A55,'10.08'!$C$4:$C$11)+SUMIF('10.08'!$D$4:$D$11,A55,'10.08'!$E$4:$E$11)+SUMIF('10.08'!$F$4:$F$11,A55,'10.08'!$G$4:$G$11)+SUMIF('10.08'!$H$4:$H$11,A55,'10.08'!$I$4:$I$11)+SUMIF('10.08'!$J$4:$J$11,A55,'10.08'!$K$4:$K$11)+SUMIF('10.08'!$L$4:$L$11,A55,'10.08'!$M$4:$M$11)+SUMIF('10.08'!$N$4:$N$11,A55,'10.08'!$O$4:$O$11)</f>
        <v>0</v>
      </c>
      <c r="R55" s="16" t="str">
        <f>SUMIF('11.08'!$B$4:$B$11,A55,'11.08'!$C$4:$C$11)+SUMIF('11.08'!$D$4:$D$11,A55,'11.08'!$E$4:$E$11)+SUMIF('11.08'!$F$4:$F$11,A55,'11.08'!$G$4:$G$11)+SUMIF('11.08'!$H$4:$H$11,A55,'11.08'!$I$4:$I$11)+SUMIF('11.08'!$J$4:$J$11,A55,'11.08'!$K$4:$K$11)+SUMIF('11.08'!$L$4:$L$11,A55,'11.08'!$M$4:$M$11)+SUMIF('11.08'!$N$4:$N$11,A55,'11.08'!$O$4:$O$11)</f>
        <v>#N/A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</row>
    <row r="56">
      <c r="A56" s="10" t="s">
        <v>19</v>
      </c>
      <c r="B56" s="10" t="s">
        <v>20</v>
      </c>
      <c r="C56" s="10">
        <v>1000.0</v>
      </c>
      <c r="D56" s="10">
        <v>175.0</v>
      </c>
      <c r="E56" s="10" t="s">
        <v>8</v>
      </c>
      <c r="F56" s="21">
        <v>7000.0</v>
      </c>
      <c r="G56" s="22">
        <f t="shared" si="6"/>
        <v>7</v>
      </c>
      <c r="H56" s="19">
        <f t="shared" si="3"/>
        <v>1225</v>
      </c>
      <c r="I56" s="14">
        <f>SUMIF('02.08'!$B$4:$B$11,#REF!,'02.08'!$C$4:$C$11)+SUMIF('02.08'!$D$4:$D$11,#REF!,'02.08'!$E$4:$E$11)+SUMIF('02.08'!$F$4:$F$11,#REF!,'02.08'!$G$4:$G$11)+SUMIF('02.08'!$H$4:$H$11,#REF!,'02.08'!$I$4:$I$11)+SUMIF('02.08'!$J$4:$J$11,#REF!,'02.08'!$K$4:$K$11)+SUMIF('02.08'!$L$4:$L$11,#REF!,'02.08'!$M$4:$M$11)+SUMIF('02.08'!$N$4:$N$11,#REF!,'02.08'!$O$4:$O$11)</f>
        <v>0</v>
      </c>
      <c r="J56" s="15">
        <f>SUMIF('03.08'!$B$4:$B$11,#REF!,'03.08'!$C$4:$C$11)+SUMIF('03.08'!$D$4:$D$11,#REF!,'03.08'!$E$4:$E$11)+SUMIF('03.08'!$F$4:$F$11,#REF!,'03.08'!$G$4:$G$11)+SUMIF('03.08'!$H$4:$H$11,#REF!,'03.08'!$I$4:$I$11)+SUMIF('03.08'!$J$4:$J$11,#REF!,'03.08'!$K$4:$K$11)+SUMIF('03.08'!$L$4:$L$11,#REF!,'03.08'!$M$4:$M$11)+SUMIF('03.08'!$N$4:$N$11,#REF!,'03.08'!$O$4:$O$11)</f>
        <v>0</v>
      </c>
      <c r="K56" s="15">
        <f>SUMIF('04.08'!$B$4:$B$11,#REF!,'04.08'!$C$4:$C$11)+SUMIF('04.08'!$D$4:$D$11,#REF!,'04.08'!$E$4:$E$11)+SUMIF('04.08'!$F$4:$F$11,#REF!,'04.08'!$G$4:$G$11)+SUMIF('04.08'!$H$4:$H$11,#REF!,'04.08'!$I$4:$I$11)+SUMIF('04.08'!$J$4:$J$11,#REF!,'04.08'!$K$4:$K$11)+SUMIF('04.08'!$L$4:$L$11,#REF!,'04.08'!$M$4:$M$11)+SUMIF('04.08'!$N$4:$N$11,#REF!,'04.08'!$O$4:$O$11)</f>
        <v>0</v>
      </c>
      <c r="L56" s="15">
        <f>SUMIF('05.08'!$B$4:$B$11,#REF!,'05.08'!$C$4:$C$11)+SUMIF('05.08'!$D$4:$D$11,#REF!,'05.08'!$E$4:$E$11)+SUMIF('05.08'!$F$4:$F$11,#REF!,'05.08'!$G$4:$G$11)+SUMIF('05.08'!$H$4:$H$11,#REF!,'05.08'!$I$4:$I$11)+SUMIF('05.08'!$J$4:$J$11,#REF!,'05.08'!$K$4:$K$11)+SUMIF('05.08'!$L$4:$L$11,#REF!,'05.08'!$M$4:$M$11)+SUMIF('05.08'!$N$4:$N$11,#REF!,'05.08'!$O$4:$O$11)</f>
        <v>0</v>
      </c>
      <c r="M56" s="15">
        <f>SUMIF('06.08'!$B$4:$B$11,#REF!,'06.08'!$C$4:$C$11)+SUMIF('06.08'!$D$4:$D$11,#REF!,'06.08'!$E$4:$E$11)+SUMIF('06.08'!$F$4:$F$11,#REF!,'06.08'!$G$4:$G$11)+SUMIF('06.08'!$H$4:$H$11,#REF!,'06.08'!$I$4:$I$11)+SUMIF('06.08'!$J$4:$J$11,#REF!,'06.08'!$K$4:$K$11)+SUMIF('06.08'!$L$4:$L$11,#REF!,'06.08'!$M$4:$M$11)+SUMIF('06.08'!$N$4:$N$11,#REF!,'06.08'!$O$4:$O$11)</f>
        <v>0</v>
      </c>
      <c r="N56" s="15">
        <f>SUMIF('07.08'!$B$4:$B$11,#REF!,'07.08'!$C$4:$C$11)+SUMIF('07.08'!$D$4:$D$11,#REF!,'07.08'!$E$4:$E$11)+SUMIF('07.08'!$F$4:$F$11,#REF!,'07.08'!$G$4:$G$11)+SUMIF('07.08'!$H$4:$H$11,#REF!,'07.08'!$I$4:$I$11)+SUMIF('07.08'!$J$4:$J$11,#REF!,'07.08'!$K$4:$K$11)+SUMIF('07.08'!$L$4:$L$11,#REF!,'07.08'!$M$4:$M$11)+SUMIF('07.08'!$N$4:$N$11,#REF!,'07.08'!$O$4:$O$11)</f>
        <v>0</v>
      </c>
      <c r="O56" s="15">
        <f>SUMIF('08.08'!$B$4:$B$11,#REF!,'08.08'!$C$4:$C$11)+SUMIF('08.08'!$D$4:$D$11,#REF!,'08.08'!$E$4:$E$11)+SUMIF('08.08'!$F$4:$F$11,#REF!,'08.08'!$G$4:$G$11)+SUMIF('08.08'!$H$4:$H$11,#REF!,'08.08'!$I$4:$I$11)+SUMIF('08.08'!$J$4:$J$11,#REF!,'08.08'!$K$4:$K$11)+SUMIF('08.08'!$L$4:$L$11,#REF!,'08.08'!$M$4:$M$11)+SUMIF('08.08'!$N$4:$N$11,#REF!,'08.08'!$O$4:$O$11)</f>
        <v>0</v>
      </c>
      <c r="P56" s="15">
        <f>SUMIF('09.08'!$B$4:$B$11,#REF!,'09.08'!$C$4:$C$11)+SUMIF('09.08'!$D$4:$D$11,#REF!,'09.08'!$E$4:$E$11)+SUMIF('09.08'!$F$4:$F$11,#REF!,'09.08'!$G$4:$G$11)+SUMIF('09.08'!$H$4:$H$11,#REF!,'09.08'!$I$4:$I$11)+SUMIF('09.08'!$J$4:$J$11,#REF!,'09.08'!$K$4:$K$11)+SUMIF('09.08'!$L$4:$L$11,#REF!,'09.08'!$M$4:$M$11)+SUMIF('09.08'!$N$4:$N$11,#REF!,'09.08'!$O$4:$O$11)</f>
        <v>0</v>
      </c>
      <c r="Q56" s="15">
        <f>SUMIF('10.08'!$B$4:$B$11,#REF!,'10.08'!$C$4:$C$11)+SUMIF('10.08'!$D$4:$D$11,#REF!,'10.08'!$E$4:$E$11)+SUMIF('10.08'!$F$4:$F$11,#REF!,'10.08'!$G$4:$G$11)+SUMIF('10.08'!$H$4:$H$11,#REF!,'10.08'!$I$4:$I$11)+SUMIF('10.08'!$J$4:$J$11,#REF!,'10.08'!$K$4:$K$11)+SUMIF('10.08'!$L$4:$L$11,#REF!,'10.08'!$M$4:$M$11)+SUMIF('10.08'!$N$4:$N$11,#REF!,'10.08'!$O$4:$O$11)</f>
        <v>0</v>
      </c>
      <c r="R56" s="16" t="str">
        <f t="shared" ref="R56:R59" si="9">SUMIF('11.08'!$B$4:$B$11,#REF!,'11.08'!$C$4:$C$11)+SUMIF('11.08'!$D$4:$D$11,#REF!,'11.08'!$E$4:$E$11)+SUMIF('11.08'!$F$4:$F$11,#REF!,'11.08'!$G$4:$G$11)+SUMIF('11.08'!$H$4:$H$11,#REF!,'11.08'!$I$4:$I$11)+SUMIF('11.08'!$J$4:$J$11,#REF!,'11.08'!$K$4:$K$11)+SUMIF('11.08'!$L$4:$L$11,#REF!,'11.08'!$M$4:$M$11)+SUMIF('11.08'!$N$4:$N$11,#REF!,'11.08'!$O$4:$O$11)</f>
        <v>#N/A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</row>
    <row r="57">
      <c r="A57" s="10" t="s">
        <v>21</v>
      </c>
      <c r="B57" s="10" t="s">
        <v>18</v>
      </c>
      <c r="C57" s="10">
        <v>1.0</v>
      </c>
      <c r="D57" s="10">
        <v>50.0</v>
      </c>
      <c r="E57" s="10" t="s">
        <v>8</v>
      </c>
      <c r="F57" s="21">
        <v>6.0</v>
      </c>
      <c r="G57" s="22">
        <f t="shared" si="6"/>
        <v>6</v>
      </c>
      <c r="H57" s="19">
        <f t="shared" si="3"/>
        <v>300</v>
      </c>
      <c r="I57" s="14">
        <f>SUMIF('02.08'!$B$4:$B$11,#REF!,'02.08'!$C$4:$C$11)+SUMIF('02.08'!$D$4:$D$11,#REF!,'02.08'!$E$4:$E$11)+SUMIF('02.08'!$F$4:$F$11,#REF!,'02.08'!$G$4:$G$11)+SUMIF('02.08'!$H$4:$H$11,#REF!,'02.08'!$I$4:$I$11)+SUMIF('02.08'!$J$4:$J$11,#REF!,'02.08'!$K$4:$K$11)+SUMIF('02.08'!$L$4:$L$11,#REF!,'02.08'!$M$4:$M$11)+SUMIF('02.08'!$N$4:$N$11,#REF!,'02.08'!$O$4:$O$11)</f>
        <v>0</v>
      </c>
      <c r="J57" s="15">
        <f>SUMIF('03.08'!$B$4:$B$11,#REF!,'03.08'!$C$4:$C$11)+SUMIF('03.08'!$D$4:$D$11,#REF!,'03.08'!$E$4:$E$11)+SUMIF('03.08'!$F$4:$F$11,#REF!,'03.08'!$G$4:$G$11)+SUMIF('03.08'!$H$4:$H$11,#REF!,'03.08'!$I$4:$I$11)+SUMIF('03.08'!$J$4:$J$11,#REF!,'03.08'!$K$4:$K$11)+SUMIF('03.08'!$L$4:$L$11,#REF!,'03.08'!$M$4:$M$11)+SUMIF('03.08'!$N$4:$N$11,#REF!,'03.08'!$O$4:$O$11)</f>
        <v>0</v>
      </c>
      <c r="K57" s="15">
        <f>SUMIF('04.08'!$B$4:$B$11,#REF!,'04.08'!$C$4:$C$11)+SUMIF('04.08'!$D$4:$D$11,#REF!,'04.08'!$E$4:$E$11)+SUMIF('04.08'!$F$4:$F$11,#REF!,'04.08'!$G$4:$G$11)+SUMIF('04.08'!$H$4:$H$11,#REF!,'04.08'!$I$4:$I$11)+SUMIF('04.08'!$J$4:$J$11,#REF!,'04.08'!$K$4:$K$11)+SUMIF('04.08'!$L$4:$L$11,#REF!,'04.08'!$M$4:$M$11)+SUMIF('04.08'!$N$4:$N$11,#REF!,'04.08'!$O$4:$O$11)</f>
        <v>0</v>
      </c>
      <c r="L57" s="15">
        <f>SUMIF('05.08'!$B$4:$B$11,#REF!,'05.08'!$C$4:$C$11)+SUMIF('05.08'!$D$4:$D$11,#REF!,'05.08'!$E$4:$E$11)+SUMIF('05.08'!$F$4:$F$11,#REF!,'05.08'!$G$4:$G$11)+SUMIF('05.08'!$H$4:$H$11,#REF!,'05.08'!$I$4:$I$11)+SUMIF('05.08'!$J$4:$J$11,#REF!,'05.08'!$K$4:$K$11)+SUMIF('05.08'!$L$4:$L$11,#REF!,'05.08'!$M$4:$M$11)+SUMIF('05.08'!$N$4:$N$11,#REF!,'05.08'!$O$4:$O$11)</f>
        <v>0</v>
      </c>
      <c r="M57" s="15">
        <f>SUMIF('06.08'!$B$4:$B$11,#REF!,'06.08'!$C$4:$C$11)+SUMIF('06.08'!$D$4:$D$11,#REF!,'06.08'!$E$4:$E$11)+SUMIF('06.08'!$F$4:$F$11,#REF!,'06.08'!$G$4:$G$11)+SUMIF('06.08'!$H$4:$H$11,#REF!,'06.08'!$I$4:$I$11)+SUMIF('06.08'!$J$4:$J$11,#REF!,'06.08'!$K$4:$K$11)+SUMIF('06.08'!$L$4:$L$11,#REF!,'06.08'!$M$4:$M$11)+SUMIF('06.08'!$N$4:$N$11,#REF!,'06.08'!$O$4:$O$11)</f>
        <v>0</v>
      </c>
      <c r="N57" s="15">
        <f>SUMIF('07.08'!$B$4:$B$11,#REF!,'07.08'!$C$4:$C$11)+SUMIF('07.08'!$D$4:$D$11,#REF!,'07.08'!$E$4:$E$11)+SUMIF('07.08'!$F$4:$F$11,#REF!,'07.08'!$G$4:$G$11)+SUMIF('07.08'!$H$4:$H$11,#REF!,'07.08'!$I$4:$I$11)+SUMIF('07.08'!$J$4:$J$11,#REF!,'07.08'!$K$4:$K$11)+SUMIF('07.08'!$L$4:$L$11,#REF!,'07.08'!$M$4:$M$11)+SUMIF('07.08'!$N$4:$N$11,#REF!,'07.08'!$O$4:$O$11)</f>
        <v>0</v>
      </c>
      <c r="O57" s="15">
        <f>SUMIF('08.08'!$B$4:$B$11,#REF!,'08.08'!$C$4:$C$11)+SUMIF('08.08'!$D$4:$D$11,#REF!,'08.08'!$E$4:$E$11)+SUMIF('08.08'!$F$4:$F$11,#REF!,'08.08'!$G$4:$G$11)+SUMIF('08.08'!$H$4:$H$11,#REF!,'08.08'!$I$4:$I$11)+SUMIF('08.08'!$J$4:$J$11,#REF!,'08.08'!$K$4:$K$11)+SUMIF('08.08'!$L$4:$L$11,#REF!,'08.08'!$M$4:$M$11)+SUMIF('08.08'!$N$4:$N$11,#REF!,'08.08'!$O$4:$O$11)</f>
        <v>0</v>
      </c>
      <c r="P57" s="15">
        <f>SUMIF('09.08'!$B$4:$B$11,#REF!,'09.08'!$C$4:$C$11)+SUMIF('09.08'!$D$4:$D$11,#REF!,'09.08'!$E$4:$E$11)+SUMIF('09.08'!$F$4:$F$11,#REF!,'09.08'!$G$4:$G$11)+SUMIF('09.08'!$H$4:$H$11,#REF!,'09.08'!$I$4:$I$11)+SUMIF('09.08'!$J$4:$J$11,#REF!,'09.08'!$K$4:$K$11)+SUMIF('09.08'!$L$4:$L$11,#REF!,'09.08'!$M$4:$M$11)+SUMIF('09.08'!$N$4:$N$11,#REF!,'09.08'!$O$4:$O$11)</f>
        <v>0</v>
      </c>
      <c r="Q57" s="15">
        <f>SUMIF('10.08'!$B$4:$B$11,#REF!,'10.08'!$C$4:$C$11)+SUMIF('10.08'!$D$4:$D$11,#REF!,'10.08'!$E$4:$E$11)+SUMIF('10.08'!$F$4:$F$11,#REF!,'10.08'!$G$4:$G$11)+SUMIF('10.08'!$H$4:$H$11,#REF!,'10.08'!$I$4:$I$11)+SUMIF('10.08'!$J$4:$J$11,#REF!,'10.08'!$K$4:$K$11)+SUMIF('10.08'!$L$4:$L$11,#REF!,'10.08'!$M$4:$M$11)+SUMIF('10.08'!$N$4:$N$11,#REF!,'10.08'!$O$4:$O$11)</f>
        <v>0</v>
      </c>
      <c r="R57" s="16" t="str">
        <f t="shared" si="9"/>
        <v>#N/A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</row>
    <row r="58">
      <c r="A58" s="10" t="s">
        <v>22</v>
      </c>
      <c r="B58" s="10" t="s">
        <v>18</v>
      </c>
      <c r="C58" s="10">
        <v>100.0</v>
      </c>
      <c r="D58" s="10">
        <v>50.0</v>
      </c>
      <c r="E58" s="10" t="s">
        <v>8</v>
      </c>
      <c r="F58" s="21">
        <v>1000.0</v>
      </c>
      <c r="G58" s="22">
        <f t="shared" si="6"/>
        <v>10</v>
      </c>
      <c r="H58" s="19">
        <f t="shared" si="3"/>
        <v>500</v>
      </c>
      <c r="I58" s="14">
        <f>SUMIF('02.08'!$B$4:$B$11,#REF!,'02.08'!$C$4:$C$11)+SUMIF('02.08'!$D$4:$D$11,#REF!,'02.08'!$E$4:$E$11)+SUMIF('02.08'!$F$4:$F$11,#REF!,'02.08'!$G$4:$G$11)+SUMIF('02.08'!$H$4:$H$11,#REF!,'02.08'!$I$4:$I$11)+SUMIF('02.08'!$J$4:$J$11,#REF!,'02.08'!$K$4:$K$11)+SUMIF('02.08'!$L$4:$L$11,#REF!,'02.08'!$M$4:$M$11)+SUMIF('02.08'!$N$4:$N$11,#REF!,'02.08'!$O$4:$O$11)</f>
        <v>0</v>
      </c>
      <c r="J58" s="15">
        <f>SUMIF('03.08'!$B$4:$B$11,#REF!,'03.08'!$C$4:$C$11)+SUMIF('03.08'!$D$4:$D$11,#REF!,'03.08'!$E$4:$E$11)+SUMIF('03.08'!$F$4:$F$11,#REF!,'03.08'!$G$4:$G$11)+SUMIF('03.08'!$H$4:$H$11,#REF!,'03.08'!$I$4:$I$11)+SUMIF('03.08'!$J$4:$J$11,#REF!,'03.08'!$K$4:$K$11)+SUMIF('03.08'!$L$4:$L$11,#REF!,'03.08'!$M$4:$M$11)+SUMIF('03.08'!$N$4:$N$11,#REF!,'03.08'!$O$4:$O$11)</f>
        <v>0</v>
      </c>
      <c r="K58" s="15">
        <f>SUMIF('04.08'!$B$4:$B$11,#REF!,'04.08'!$C$4:$C$11)+SUMIF('04.08'!$D$4:$D$11,#REF!,'04.08'!$E$4:$E$11)+SUMIF('04.08'!$F$4:$F$11,#REF!,'04.08'!$G$4:$G$11)+SUMIF('04.08'!$H$4:$H$11,#REF!,'04.08'!$I$4:$I$11)+SUMIF('04.08'!$J$4:$J$11,#REF!,'04.08'!$K$4:$K$11)+SUMIF('04.08'!$L$4:$L$11,#REF!,'04.08'!$M$4:$M$11)+SUMIF('04.08'!$N$4:$N$11,#REF!,'04.08'!$O$4:$O$11)</f>
        <v>0</v>
      </c>
      <c r="L58" s="15">
        <f>SUMIF('05.08'!$B$4:$B$11,#REF!,'05.08'!$C$4:$C$11)+SUMIF('05.08'!$D$4:$D$11,#REF!,'05.08'!$E$4:$E$11)+SUMIF('05.08'!$F$4:$F$11,#REF!,'05.08'!$G$4:$G$11)+SUMIF('05.08'!$H$4:$H$11,#REF!,'05.08'!$I$4:$I$11)+SUMIF('05.08'!$J$4:$J$11,#REF!,'05.08'!$K$4:$K$11)+SUMIF('05.08'!$L$4:$L$11,#REF!,'05.08'!$M$4:$M$11)+SUMIF('05.08'!$N$4:$N$11,#REF!,'05.08'!$O$4:$O$11)</f>
        <v>0</v>
      </c>
      <c r="M58" s="15">
        <f>SUMIF('06.08'!$B$4:$B$11,#REF!,'06.08'!$C$4:$C$11)+SUMIF('06.08'!$D$4:$D$11,#REF!,'06.08'!$E$4:$E$11)+SUMIF('06.08'!$F$4:$F$11,#REF!,'06.08'!$G$4:$G$11)+SUMIF('06.08'!$H$4:$H$11,#REF!,'06.08'!$I$4:$I$11)+SUMIF('06.08'!$J$4:$J$11,#REF!,'06.08'!$K$4:$K$11)+SUMIF('06.08'!$L$4:$L$11,#REF!,'06.08'!$M$4:$M$11)+SUMIF('06.08'!$N$4:$N$11,#REF!,'06.08'!$O$4:$O$11)</f>
        <v>0</v>
      </c>
      <c r="N58" s="15">
        <f>SUMIF('07.08'!$B$4:$B$11,#REF!,'07.08'!$C$4:$C$11)+SUMIF('07.08'!$D$4:$D$11,#REF!,'07.08'!$E$4:$E$11)+SUMIF('07.08'!$F$4:$F$11,#REF!,'07.08'!$G$4:$G$11)+SUMIF('07.08'!$H$4:$H$11,#REF!,'07.08'!$I$4:$I$11)+SUMIF('07.08'!$J$4:$J$11,#REF!,'07.08'!$K$4:$K$11)+SUMIF('07.08'!$L$4:$L$11,#REF!,'07.08'!$M$4:$M$11)+SUMIF('07.08'!$N$4:$N$11,#REF!,'07.08'!$O$4:$O$11)</f>
        <v>0</v>
      </c>
      <c r="O58" s="15">
        <f>SUMIF('08.08'!$B$4:$B$11,#REF!,'08.08'!$C$4:$C$11)+SUMIF('08.08'!$D$4:$D$11,#REF!,'08.08'!$E$4:$E$11)+SUMIF('08.08'!$F$4:$F$11,#REF!,'08.08'!$G$4:$G$11)+SUMIF('08.08'!$H$4:$H$11,#REF!,'08.08'!$I$4:$I$11)+SUMIF('08.08'!$J$4:$J$11,#REF!,'08.08'!$K$4:$K$11)+SUMIF('08.08'!$L$4:$L$11,#REF!,'08.08'!$M$4:$M$11)+SUMIF('08.08'!$N$4:$N$11,#REF!,'08.08'!$O$4:$O$11)</f>
        <v>0</v>
      </c>
      <c r="P58" s="15">
        <f>SUMIF('09.08'!$B$4:$B$11,#REF!,'09.08'!$C$4:$C$11)+SUMIF('09.08'!$D$4:$D$11,#REF!,'09.08'!$E$4:$E$11)+SUMIF('09.08'!$F$4:$F$11,#REF!,'09.08'!$G$4:$G$11)+SUMIF('09.08'!$H$4:$H$11,#REF!,'09.08'!$I$4:$I$11)+SUMIF('09.08'!$J$4:$J$11,#REF!,'09.08'!$K$4:$K$11)+SUMIF('09.08'!$L$4:$L$11,#REF!,'09.08'!$M$4:$M$11)+SUMIF('09.08'!$N$4:$N$11,#REF!,'09.08'!$O$4:$O$11)</f>
        <v>0</v>
      </c>
      <c r="Q58" s="15">
        <f>SUMIF('10.08'!$B$4:$B$11,#REF!,'10.08'!$C$4:$C$11)+SUMIF('10.08'!$D$4:$D$11,#REF!,'10.08'!$E$4:$E$11)+SUMIF('10.08'!$F$4:$F$11,#REF!,'10.08'!$G$4:$G$11)+SUMIF('10.08'!$H$4:$H$11,#REF!,'10.08'!$I$4:$I$11)+SUMIF('10.08'!$J$4:$J$11,#REF!,'10.08'!$K$4:$K$11)+SUMIF('10.08'!$L$4:$L$11,#REF!,'10.08'!$M$4:$M$11)+SUMIF('10.08'!$N$4:$N$11,#REF!,'10.08'!$O$4:$O$11)</f>
        <v>0</v>
      </c>
      <c r="R58" s="16" t="str">
        <f t="shared" si="9"/>
        <v>#N/A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</row>
    <row r="59">
      <c r="A59" s="10" t="s">
        <v>23</v>
      </c>
      <c r="B59" s="10" t="s">
        <v>18</v>
      </c>
      <c r="C59" s="10">
        <v>100.0</v>
      </c>
      <c r="D59" s="10">
        <v>80.0</v>
      </c>
      <c r="E59" s="10" t="s">
        <v>8</v>
      </c>
      <c r="F59" s="21">
        <v>1000.0</v>
      </c>
      <c r="G59" s="22">
        <v>15.0</v>
      </c>
      <c r="H59" s="19">
        <f t="shared" si="3"/>
        <v>1200</v>
      </c>
      <c r="I59" s="14">
        <f>SUMIF('02.08'!$B$4:$B$11,#REF!,'02.08'!$C$4:$C$11)+SUMIF('02.08'!$D$4:$D$11,#REF!,'02.08'!$E$4:$E$11)+SUMIF('02.08'!$F$4:$F$11,#REF!,'02.08'!$G$4:$G$11)+SUMIF('02.08'!$H$4:$H$11,#REF!,'02.08'!$I$4:$I$11)+SUMIF('02.08'!$J$4:$J$11,#REF!,'02.08'!$K$4:$K$11)+SUMIF('02.08'!$L$4:$L$11,#REF!,'02.08'!$M$4:$M$11)+SUMIF('02.08'!$N$4:$N$11,#REF!,'02.08'!$O$4:$O$11)</f>
        <v>0</v>
      </c>
      <c r="J59" s="15">
        <f>SUMIF('03.08'!$B$4:$B$11,#REF!,'03.08'!$C$4:$C$11)+SUMIF('03.08'!$D$4:$D$11,#REF!,'03.08'!$E$4:$E$11)+SUMIF('03.08'!$F$4:$F$11,#REF!,'03.08'!$G$4:$G$11)+SUMIF('03.08'!$H$4:$H$11,#REF!,'03.08'!$I$4:$I$11)+SUMIF('03.08'!$J$4:$J$11,#REF!,'03.08'!$K$4:$K$11)+SUMIF('03.08'!$L$4:$L$11,#REF!,'03.08'!$M$4:$M$11)+SUMIF('03.08'!$N$4:$N$11,#REF!,'03.08'!$O$4:$O$11)</f>
        <v>0</v>
      </c>
      <c r="K59" s="15">
        <f>SUMIF('04.08'!$B$4:$B$11,#REF!,'04.08'!$C$4:$C$11)+SUMIF('04.08'!$D$4:$D$11,#REF!,'04.08'!$E$4:$E$11)+SUMIF('04.08'!$F$4:$F$11,#REF!,'04.08'!$G$4:$G$11)+SUMIF('04.08'!$H$4:$H$11,#REF!,'04.08'!$I$4:$I$11)+SUMIF('04.08'!$J$4:$J$11,#REF!,'04.08'!$K$4:$K$11)+SUMIF('04.08'!$L$4:$L$11,#REF!,'04.08'!$M$4:$M$11)+SUMIF('04.08'!$N$4:$N$11,#REF!,'04.08'!$O$4:$O$11)</f>
        <v>0</v>
      </c>
      <c r="L59" s="15">
        <f>SUMIF('05.08'!$B$4:$B$11,#REF!,'05.08'!$C$4:$C$11)+SUMIF('05.08'!$D$4:$D$11,#REF!,'05.08'!$E$4:$E$11)+SUMIF('05.08'!$F$4:$F$11,#REF!,'05.08'!$G$4:$G$11)+SUMIF('05.08'!$H$4:$H$11,#REF!,'05.08'!$I$4:$I$11)+SUMIF('05.08'!$J$4:$J$11,#REF!,'05.08'!$K$4:$K$11)+SUMIF('05.08'!$L$4:$L$11,#REF!,'05.08'!$M$4:$M$11)+SUMIF('05.08'!$N$4:$N$11,#REF!,'05.08'!$O$4:$O$11)</f>
        <v>0</v>
      </c>
      <c r="M59" s="15">
        <f>SUMIF('06.08'!$B$4:$B$11,#REF!,'06.08'!$C$4:$C$11)+SUMIF('06.08'!$D$4:$D$11,#REF!,'06.08'!$E$4:$E$11)+SUMIF('06.08'!$F$4:$F$11,#REF!,'06.08'!$G$4:$G$11)+SUMIF('06.08'!$H$4:$H$11,#REF!,'06.08'!$I$4:$I$11)+SUMIF('06.08'!$J$4:$J$11,#REF!,'06.08'!$K$4:$K$11)+SUMIF('06.08'!$L$4:$L$11,#REF!,'06.08'!$M$4:$M$11)+SUMIF('06.08'!$N$4:$N$11,#REF!,'06.08'!$O$4:$O$11)</f>
        <v>0</v>
      </c>
      <c r="N59" s="15">
        <f>SUMIF('07.08'!$B$4:$B$11,#REF!,'07.08'!$C$4:$C$11)+SUMIF('07.08'!$D$4:$D$11,#REF!,'07.08'!$E$4:$E$11)+SUMIF('07.08'!$F$4:$F$11,#REF!,'07.08'!$G$4:$G$11)+SUMIF('07.08'!$H$4:$H$11,#REF!,'07.08'!$I$4:$I$11)+SUMIF('07.08'!$J$4:$J$11,#REF!,'07.08'!$K$4:$K$11)+SUMIF('07.08'!$L$4:$L$11,#REF!,'07.08'!$M$4:$M$11)+SUMIF('07.08'!$N$4:$N$11,#REF!,'07.08'!$O$4:$O$11)</f>
        <v>0</v>
      </c>
      <c r="O59" s="15">
        <f>SUMIF('08.08'!$B$4:$B$11,#REF!,'08.08'!$C$4:$C$11)+SUMIF('08.08'!$D$4:$D$11,#REF!,'08.08'!$E$4:$E$11)+SUMIF('08.08'!$F$4:$F$11,#REF!,'08.08'!$G$4:$G$11)+SUMIF('08.08'!$H$4:$H$11,#REF!,'08.08'!$I$4:$I$11)+SUMIF('08.08'!$J$4:$J$11,#REF!,'08.08'!$K$4:$K$11)+SUMIF('08.08'!$L$4:$L$11,#REF!,'08.08'!$M$4:$M$11)+SUMIF('08.08'!$N$4:$N$11,#REF!,'08.08'!$O$4:$O$11)</f>
        <v>0</v>
      </c>
      <c r="P59" s="15">
        <f>SUMIF('09.08'!$B$4:$B$11,#REF!,'09.08'!$C$4:$C$11)+SUMIF('09.08'!$D$4:$D$11,#REF!,'09.08'!$E$4:$E$11)+SUMIF('09.08'!$F$4:$F$11,#REF!,'09.08'!$G$4:$G$11)+SUMIF('09.08'!$H$4:$H$11,#REF!,'09.08'!$I$4:$I$11)+SUMIF('09.08'!$J$4:$J$11,#REF!,'09.08'!$K$4:$K$11)+SUMIF('09.08'!$L$4:$L$11,#REF!,'09.08'!$M$4:$M$11)+SUMIF('09.08'!$N$4:$N$11,#REF!,'09.08'!$O$4:$O$11)</f>
        <v>0</v>
      </c>
      <c r="Q59" s="15">
        <f>SUMIF('10.08'!$B$4:$B$11,#REF!,'10.08'!$C$4:$C$11)+SUMIF('10.08'!$D$4:$D$11,#REF!,'10.08'!$E$4:$E$11)+SUMIF('10.08'!$F$4:$F$11,#REF!,'10.08'!$G$4:$G$11)+SUMIF('10.08'!$H$4:$H$11,#REF!,'10.08'!$I$4:$I$11)+SUMIF('10.08'!$J$4:$J$11,#REF!,'10.08'!$K$4:$K$11)+SUMIF('10.08'!$L$4:$L$11,#REF!,'10.08'!$M$4:$M$11)+SUMIF('10.08'!$N$4:$N$11,#REF!,'10.08'!$O$4:$O$11)</f>
        <v>0</v>
      </c>
      <c r="R59" s="16" t="str">
        <f t="shared" si="9"/>
        <v>#N/A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</row>
    <row r="60">
      <c r="A60" s="10" t="s">
        <v>24</v>
      </c>
      <c r="B60" s="10" t="s">
        <v>18</v>
      </c>
      <c r="C60" s="10">
        <v>50.0</v>
      </c>
      <c r="D60" s="10">
        <v>50.0</v>
      </c>
      <c r="E60" s="10" t="s">
        <v>8</v>
      </c>
      <c r="F60" s="21">
        <v>250.0</v>
      </c>
      <c r="G60" s="22">
        <v>5.0</v>
      </c>
      <c r="H60" s="19">
        <f t="shared" si="3"/>
        <v>250</v>
      </c>
      <c r="I60" s="37"/>
      <c r="J60" s="8"/>
      <c r="K60" s="8"/>
      <c r="L60" s="8"/>
      <c r="M60" s="8"/>
      <c r="N60" s="8"/>
      <c r="O60" s="8"/>
      <c r="P60" s="8"/>
      <c r="Q60" s="8"/>
      <c r="R60" s="3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>
      <c r="A61" s="10" t="s">
        <v>25</v>
      </c>
      <c r="B61" s="10" t="s">
        <v>18</v>
      </c>
      <c r="C61" s="10">
        <v>900.0</v>
      </c>
      <c r="D61" s="10">
        <v>270.0</v>
      </c>
      <c r="E61" s="10" t="s">
        <v>8</v>
      </c>
      <c r="F61" s="21">
        <v>1800.0</v>
      </c>
      <c r="G61" s="22">
        <f t="shared" ref="G61:G183" si="10">IFERROR(CEILING(F61/C61,1),"Введите занчения")</f>
        <v>2</v>
      </c>
      <c r="H61" s="19">
        <f t="shared" si="3"/>
        <v>540</v>
      </c>
      <c r="I61" s="14">
        <f>SUMIF('02.08'!$B$4:$B$11,A56,'02.08'!$C$4:$C$11)+SUMIF('02.08'!$D$4:$D$11,A56,'02.08'!$E$4:$E$11)+SUMIF('02.08'!$F$4:$F$11,A56,'02.08'!$G$4:$G$11)+SUMIF('02.08'!$H$4:$H$11,A56,'02.08'!$I$4:$I$11)+SUMIF('02.08'!$J$4:$J$11,A56,'02.08'!$K$4:$K$11)+SUMIF('02.08'!$L$4:$L$11,A56,'02.08'!$M$4:$M$11)+SUMIF('02.08'!$N$4:$N$11,A56,'02.08'!$O$4:$O$11)</f>
        <v>0</v>
      </c>
      <c r="J61" s="15">
        <f>SUMIF('03.08'!$B$4:$B$11,A56,'03.08'!$C$4:$C$11)+SUMIF('03.08'!$D$4:$D$11,A56,'03.08'!$E$4:$E$11)+SUMIF('03.08'!$F$4:$F$11,A56,'03.08'!$G$4:$G$11)+SUMIF('03.08'!$H$4:$H$11,A56,'03.08'!$I$4:$I$11)+SUMIF('03.08'!$J$4:$J$11,A56,'03.08'!$K$4:$K$11)+SUMIF('03.08'!$L$4:$L$11,A56,'03.08'!$M$4:$M$11)+SUMIF('03.08'!$N$4:$N$11,A56,'03.08'!$O$4:$O$11)</f>
        <v>0</v>
      </c>
      <c r="K61" s="15">
        <f>SUMIF('04.08'!$B$4:$B$11,A56,'04.08'!$C$4:$C$11)+SUMIF('04.08'!$D$4:$D$11,A56,'04.08'!$E$4:$E$11)+SUMIF('04.08'!$F$4:$F$11,A56,'04.08'!$G$4:$G$11)+SUMIF('04.08'!$H$4:$H$11,A56,'04.08'!$I$4:$I$11)+SUMIF('04.08'!$J$4:$J$11,A56,'04.08'!$K$4:$K$11)+SUMIF('04.08'!$L$4:$L$11,A56,'04.08'!$M$4:$M$11)+SUMIF('04.08'!$N$4:$N$11,A56,'04.08'!$O$4:$O$11)</f>
        <v>0</v>
      </c>
      <c r="L61" s="15">
        <f>SUMIF('05.08'!$B$4:$B$11,A56,'05.08'!$C$4:$C$11)+SUMIF('05.08'!$D$4:$D$11,A56,'05.08'!$E$4:$E$11)+SUMIF('05.08'!$F$4:$F$11,A56,'05.08'!$G$4:$G$11)+SUMIF('05.08'!$H$4:$H$11,A56,'05.08'!$I$4:$I$11)+SUMIF('05.08'!$J$4:$J$11,A56,'05.08'!$K$4:$K$11)+SUMIF('05.08'!$L$4:$L$11,A56,'05.08'!$M$4:$M$11)+SUMIF('05.08'!$N$4:$N$11,A56,'05.08'!$O$4:$O$11)</f>
        <v>0</v>
      </c>
      <c r="M61" s="15">
        <f>SUMIF('06.08'!$B$4:$B$11,A56,'06.08'!$C$4:$C$11)+SUMIF('06.08'!$D$4:$D$11,A56,'06.08'!$E$4:$E$11)+SUMIF('06.08'!$F$4:$F$11,A56,'06.08'!$G$4:$G$11)+SUMIF('06.08'!$H$4:$H$11,A56,'06.08'!$I$4:$I$11)+SUMIF('06.08'!$J$4:$J$11,A56,'06.08'!$K$4:$K$11)+SUMIF('06.08'!$L$4:$L$11,A56,'06.08'!$M$4:$M$11)+SUMIF('06.08'!$N$4:$N$11,A56,'06.08'!$O$4:$O$11)</f>
        <v>0</v>
      </c>
      <c r="N61" s="15">
        <f>SUMIF('07.08'!$B$4:$B$11,A56,'07.08'!$C$4:$C$11)+SUMIF('07.08'!$D$4:$D$11,A56,'07.08'!$E$4:$E$11)+SUMIF('07.08'!$F$4:$F$11,A56,'07.08'!$G$4:$G$11)+SUMIF('07.08'!$H$4:$H$11,A56,'07.08'!$I$4:$I$11)+SUMIF('07.08'!$J$4:$J$11,A56,'07.08'!$K$4:$K$11)+SUMIF('07.08'!$L$4:$L$11,A56,'07.08'!$M$4:$M$11)+SUMIF('07.08'!$N$4:$N$11,A56,'07.08'!$O$4:$O$11)</f>
        <v>0</v>
      </c>
      <c r="O61" s="15">
        <f>SUMIF('08.08'!$B$4:$B$11,A56,'08.08'!$C$4:$C$11)+SUMIF('08.08'!$D$4:$D$11,A56,'08.08'!$E$4:$E$11)+SUMIF('08.08'!$F$4:$F$11,A56,'08.08'!$G$4:$G$11)+SUMIF('08.08'!$H$4:$H$11,A56,'08.08'!$I$4:$I$11)+SUMIF('08.08'!$J$4:$J$11,A56,'08.08'!$K$4:$K$11)+SUMIF('08.08'!$L$4:$L$11,A56,'08.08'!$M$4:$M$11)+SUMIF('08.08'!$N$4:$N$11,A56,'08.08'!$O$4:$O$11)</f>
        <v>0</v>
      </c>
      <c r="P61" s="15">
        <f>SUMIF('09.08'!$B$4:$B$11,A56,'09.08'!$C$4:$C$11)+SUMIF('09.08'!$D$4:$D$11,A56,'09.08'!$E$4:$E$11)+SUMIF('09.08'!$F$4:$F$11,A56,'09.08'!$G$4:$G$11)+SUMIF('09.08'!$H$4:$H$11,A56,'09.08'!$I$4:$I$11)+SUMIF('09.08'!$J$4:$J$11,A56,'09.08'!$K$4:$K$11)+SUMIF('09.08'!$L$4:$L$11,A56,'09.08'!$M$4:$M$11)+SUMIF('09.08'!$N$4:$N$11,A56,'09.08'!$O$4:$O$11)</f>
        <v>0</v>
      </c>
      <c r="Q61" s="15">
        <f>SUMIF('10.08'!$B$4:$B$11,A56,'10.08'!$C$4:$C$11)+SUMIF('10.08'!$D$4:$D$11,A56,'10.08'!$E$4:$E$11)+SUMIF('10.08'!$F$4:$F$11,A56,'10.08'!$G$4:$G$11)+SUMIF('10.08'!$H$4:$H$11,A56,'10.08'!$I$4:$I$11)+SUMIF('10.08'!$J$4:$J$11,A56,'10.08'!$K$4:$K$11)+SUMIF('10.08'!$L$4:$L$11,A56,'10.08'!$M$4:$M$11)+SUMIF('10.08'!$N$4:$N$11,A56,'10.08'!$O$4:$O$11)</f>
        <v>0</v>
      </c>
      <c r="R61" s="16" t="str">
        <f t="shared" ref="R61:R62" si="11">SUMIF('11.08'!$B$4:$B$11,A56,'11.08'!$C$4:$C$11)+SUMIF('11.08'!$D$4:$D$11,A56,'11.08'!$E$4:$E$11)+SUMIF('11.08'!$F$4:$F$11,A56,'11.08'!$G$4:$G$11)+SUMIF('11.08'!$H$4:$H$11,A56,'11.08'!$I$4:$I$11)+SUMIF('11.08'!$J$4:$J$11,A56,'11.08'!$K$4:$K$11)+SUMIF('11.08'!$L$4:$L$11,A56,'11.08'!$M$4:$M$11)+SUMIF('11.08'!$N$4:$N$11,A56,'11.08'!$O$4:$O$11)</f>
        <v>#N/A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>
      <c r="A62" s="10" t="s">
        <v>26</v>
      </c>
      <c r="B62" s="10" t="s">
        <v>18</v>
      </c>
      <c r="C62" s="10">
        <v>10.0</v>
      </c>
      <c r="D62" s="10">
        <v>160.0</v>
      </c>
      <c r="E62" s="10" t="s">
        <v>8</v>
      </c>
      <c r="F62" s="21">
        <v>30.0</v>
      </c>
      <c r="G62" s="22">
        <f t="shared" si="10"/>
        <v>3</v>
      </c>
      <c r="H62" s="19">
        <f t="shared" si="3"/>
        <v>480</v>
      </c>
      <c r="I62" s="14">
        <f>SUMIF('02.08'!$B$4:$B$11,A57,'02.08'!$C$4:$C$11)+SUMIF('02.08'!$D$4:$D$11,A57,'02.08'!$E$4:$E$11)+SUMIF('02.08'!$F$4:$F$11,A57,'02.08'!$G$4:$G$11)+SUMIF('02.08'!$H$4:$H$11,A57,'02.08'!$I$4:$I$11)+SUMIF('02.08'!$J$4:$J$11,A57,'02.08'!$K$4:$K$11)+SUMIF('02.08'!$L$4:$L$11,A57,'02.08'!$M$4:$M$11)+SUMIF('02.08'!$N$4:$N$11,A57,'02.08'!$O$4:$O$11)</f>
        <v>0</v>
      </c>
      <c r="J62" s="15">
        <f>SUMIF('03.08'!$B$4:$B$11,A57,'03.08'!$C$4:$C$11)+SUMIF('03.08'!$D$4:$D$11,A57,'03.08'!$E$4:$E$11)+SUMIF('03.08'!$F$4:$F$11,A57,'03.08'!$G$4:$G$11)+SUMIF('03.08'!$H$4:$H$11,A57,'03.08'!$I$4:$I$11)+SUMIF('03.08'!$J$4:$J$11,A57,'03.08'!$K$4:$K$11)+SUMIF('03.08'!$L$4:$L$11,A57,'03.08'!$M$4:$M$11)+SUMIF('03.08'!$N$4:$N$11,A57,'03.08'!$O$4:$O$11)</f>
        <v>0</v>
      </c>
      <c r="K62" s="15">
        <f>SUMIF('04.08'!$B$4:$B$11,A57,'04.08'!$C$4:$C$11)+SUMIF('04.08'!$D$4:$D$11,A57,'04.08'!$E$4:$E$11)+SUMIF('04.08'!$F$4:$F$11,A57,'04.08'!$G$4:$G$11)+SUMIF('04.08'!$H$4:$H$11,A57,'04.08'!$I$4:$I$11)+SUMIF('04.08'!$J$4:$J$11,A57,'04.08'!$K$4:$K$11)+SUMIF('04.08'!$L$4:$L$11,A57,'04.08'!$M$4:$M$11)+SUMIF('04.08'!$N$4:$N$11,A57,'04.08'!$O$4:$O$11)</f>
        <v>0</v>
      </c>
      <c r="L62" s="15">
        <f>SUMIF('05.08'!$B$4:$B$11,A57,'05.08'!$C$4:$C$11)+SUMIF('05.08'!$D$4:$D$11,A57,'05.08'!$E$4:$E$11)+SUMIF('05.08'!$F$4:$F$11,A57,'05.08'!$G$4:$G$11)+SUMIF('05.08'!$H$4:$H$11,A57,'05.08'!$I$4:$I$11)+SUMIF('05.08'!$J$4:$J$11,A57,'05.08'!$K$4:$K$11)+SUMIF('05.08'!$L$4:$L$11,A57,'05.08'!$M$4:$M$11)+SUMIF('05.08'!$N$4:$N$11,A57,'05.08'!$O$4:$O$11)</f>
        <v>0</v>
      </c>
      <c r="M62" s="15">
        <f>SUMIF('06.08'!$B$4:$B$11,A57,'06.08'!$C$4:$C$11)+SUMIF('06.08'!$D$4:$D$11,A57,'06.08'!$E$4:$E$11)+SUMIF('06.08'!$F$4:$F$11,A57,'06.08'!$G$4:$G$11)+SUMIF('06.08'!$H$4:$H$11,A57,'06.08'!$I$4:$I$11)+SUMIF('06.08'!$J$4:$J$11,A57,'06.08'!$K$4:$K$11)+SUMIF('06.08'!$L$4:$L$11,A57,'06.08'!$M$4:$M$11)+SUMIF('06.08'!$N$4:$N$11,A57,'06.08'!$O$4:$O$11)</f>
        <v>0</v>
      </c>
      <c r="N62" s="15">
        <f>SUMIF('07.08'!$B$4:$B$11,A57,'07.08'!$C$4:$C$11)+SUMIF('07.08'!$D$4:$D$11,A57,'07.08'!$E$4:$E$11)+SUMIF('07.08'!$F$4:$F$11,A57,'07.08'!$G$4:$G$11)+SUMIF('07.08'!$H$4:$H$11,A57,'07.08'!$I$4:$I$11)+SUMIF('07.08'!$J$4:$J$11,A57,'07.08'!$K$4:$K$11)+SUMIF('07.08'!$L$4:$L$11,A57,'07.08'!$M$4:$M$11)+SUMIF('07.08'!$N$4:$N$11,A57,'07.08'!$O$4:$O$11)</f>
        <v>0</v>
      </c>
      <c r="O62" s="15">
        <f>SUMIF('08.08'!$B$4:$B$11,A57,'08.08'!$C$4:$C$11)+SUMIF('08.08'!$D$4:$D$11,A57,'08.08'!$E$4:$E$11)+SUMIF('08.08'!$F$4:$F$11,A57,'08.08'!$G$4:$G$11)+SUMIF('08.08'!$H$4:$H$11,A57,'08.08'!$I$4:$I$11)+SUMIF('08.08'!$J$4:$J$11,A57,'08.08'!$K$4:$K$11)+SUMIF('08.08'!$L$4:$L$11,A57,'08.08'!$M$4:$M$11)+SUMIF('08.08'!$N$4:$N$11,A57,'08.08'!$O$4:$O$11)</f>
        <v>0</v>
      </c>
      <c r="P62" s="15">
        <f>SUMIF('09.08'!$B$4:$B$11,A57,'09.08'!$C$4:$C$11)+SUMIF('09.08'!$D$4:$D$11,A57,'09.08'!$E$4:$E$11)+SUMIF('09.08'!$F$4:$F$11,A57,'09.08'!$G$4:$G$11)+SUMIF('09.08'!$H$4:$H$11,A57,'09.08'!$I$4:$I$11)+SUMIF('09.08'!$J$4:$J$11,A57,'09.08'!$K$4:$K$11)+SUMIF('09.08'!$L$4:$L$11,A57,'09.08'!$M$4:$M$11)+SUMIF('09.08'!$N$4:$N$11,A57,'09.08'!$O$4:$O$11)</f>
        <v>0</v>
      </c>
      <c r="Q62" s="15">
        <f>SUMIF('10.08'!$B$4:$B$11,A57,'10.08'!$C$4:$C$11)+SUMIF('10.08'!$D$4:$D$11,A57,'10.08'!$E$4:$E$11)+SUMIF('10.08'!$F$4:$F$11,A57,'10.08'!$G$4:$G$11)+SUMIF('10.08'!$H$4:$H$11,A57,'10.08'!$I$4:$I$11)+SUMIF('10.08'!$J$4:$J$11,A57,'10.08'!$K$4:$K$11)+SUMIF('10.08'!$L$4:$L$11,A57,'10.08'!$M$4:$M$11)+SUMIF('10.08'!$N$4:$N$11,A57,'10.08'!$O$4:$O$11)</f>
        <v>0</v>
      </c>
      <c r="R62" s="16" t="str">
        <f t="shared" si="11"/>
        <v>#N/A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>
      <c r="A63" s="10" t="str">
        <f>'список продуктов'!A65</f>
        <v/>
      </c>
      <c r="B63" s="10" t="str">
        <f>'список продуктов'!B65</f>
        <v/>
      </c>
      <c r="C63" s="10" t="str">
        <f>'список продуктов'!C65</f>
        <v/>
      </c>
      <c r="D63" s="10" t="str">
        <f>'список продуктов'!D65</f>
        <v/>
      </c>
      <c r="E63" s="10" t="s">
        <v>8</v>
      </c>
      <c r="F63" s="21">
        <v>2625.0</v>
      </c>
      <c r="G63" s="22" t="str">
        <f t="shared" si="10"/>
        <v>Введите занчения</v>
      </c>
      <c r="H63" s="19" t="str">
        <f>G63*D63</f>
        <v>#VALUE!</v>
      </c>
      <c r="I63" s="14">
        <f>SUMIF('02.08'!$B$4:$B$11,A58,'02.08'!$C$4:$C$11)+SUMIF('02.08'!$D$4:$D$11,A58,'02.08'!$E$4:$E$11)+SUMIF('02.08'!$F$4:$F$11,A58,'02.08'!$G$4:$G$11)+SUMIF('02.08'!$H$4:$H$11,A58,'02.08'!$I$4:$I$11)+SUMIF('02.08'!$J$4:$J$11,A58,'02.08'!$K$4:$K$11)+SUMIF('02.08'!$L$4:$L$11,A58,'02.08'!$M$4:$M$11)+SUMIF('02.08'!$N$4:$N$11,A58,'02.08'!$O$4:$O$11)</f>
        <v>0</v>
      </c>
      <c r="J63" s="15">
        <f>SUMIF('03.08'!$B$4:$B$11,A58,'03.08'!$C$4:$C$11)+SUMIF('03.08'!$D$4:$D$11,A58,'03.08'!$E$4:$E$11)+SUMIF('03.08'!$F$4:$F$11,A58,'03.08'!$G$4:$G$11)+SUMIF('03.08'!$H$4:$H$11,A58,'03.08'!$I$4:$I$11)+SUMIF('03.08'!$J$4:$J$11,A58,'03.08'!$K$4:$K$11)+SUMIF('03.08'!$L$4:$L$11,A58,'03.08'!$M$4:$M$11)+SUMIF('03.08'!$N$4:$N$11,A58,'03.08'!$O$4:$O$11)</f>
        <v>0</v>
      </c>
      <c r="K63" s="15">
        <f>SUMIF('04.08'!$B$4:$B$11,A58,'04.08'!$C$4:$C$11)+SUMIF('04.08'!$D$4:$D$11,A58,'04.08'!$E$4:$E$11)+SUMIF('04.08'!$F$4:$F$11,A58,'04.08'!$G$4:$G$11)+SUMIF('04.08'!$H$4:$H$11,A58,'04.08'!$I$4:$I$11)+SUMIF('04.08'!$J$4:$J$11,A58,'04.08'!$K$4:$K$11)+SUMIF('04.08'!$L$4:$L$11,A58,'04.08'!$M$4:$M$11)+SUMIF('04.08'!$N$4:$N$11,A58,'04.08'!$O$4:$O$11)</f>
        <v>0</v>
      </c>
      <c r="L63" s="15">
        <f>SUMIF('05.08'!$B$4:$B$11,A58,'05.08'!$C$4:$C$11)+SUMIF('05.08'!$D$4:$D$11,A58,'05.08'!$E$4:$E$11)+SUMIF('05.08'!$F$4:$F$11,A58,'05.08'!$G$4:$G$11)+SUMIF('05.08'!$H$4:$H$11,A58,'05.08'!$I$4:$I$11)+SUMIF('05.08'!$J$4:$J$11,A58,'05.08'!$K$4:$K$11)+SUMIF('05.08'!$L$4:$L$11,A58,'05.08'!$M$4:$M$11)+SUMIF('05.08'!$N$4:$N$11,A58,'05.08'!$O$4:$O$11)</f>
        <v>0</v>
      </c>
      <c r="M63" s="15">
        <f>SUMIF('06.08'!$B$4:$B$11,A58,'06.08'!$C$4:$C$11)+SUMIF('06.08'!$D$4:$D$11,A58,'06.08'!$E$4:$E$11)+SUMIF('06.08'!$F$4:$F$11,A58,'06.08'!$G$4:$G$11)+SUMIF('06.08'!$H$4:$H$11,A58,'06.08'!$I$4:$I$11)+SUMIF('06.08'!$J$4:$J$11,A58,'06.08'!$K$4:$K$11)+SUMIF('06.08'!$L$4:$L$11,A58,'06.08'!$M$4:$M$11)+SUMIF('06.08'!$N$4:$N$11,A58,'06.08'!$O$4:$O$11)</f>
        <v>0</v>
      </c>
      <c r="N63" s="15">
        <f>SUMIF('07.08'!$B$4:$B$11,A58,'07.08'!$C$4:$C$11)+SUMIF('07.08'!$D$4:$D$11,A58,'07.08'!$E$4:$E$11)+SUMIF('07.08'!$F$4:$F$11,A58,'07.08'!$G$4:$G$11)+SUMIF('07.08'!$H$4:$H$11,A58,'07.08'!$I$4:$I$11)+SUMIF('07.08'!$J$4:$J$11,A58,'07.08'!$K$4:$K$11)+SUMIF('07.08'!$L$4:$L$11,A58,'07.08'!$M$4:$M$11)+SUMIF('07.08'!$N$4:$N$11,A58,'07.08'!$O$4:$O$11)</f>
        <v>0</v>
      </c>
      <c r="O63" s="15">
        <f>SUMIF('08.08'!$B$4:$B$11,A58,'08.08'!$C$4:$C$11)+SUMIF('08.08'!$D$4:$D$11,A58,'08.08'!$E$4:$E$11)+SUMIF('08.08'!$F$4:$F$11,A58,'08.08'!$G$4:$G$11)+SUMIF('08.08'!$H$4:$H$11,A58,'08.08'!$I$4:$I$11)+SUMIF('08.08'!$J$4:$J$11,A58,'08.08'!$K$4:$K$11)+SUMIF('08.08'!$L$4:$L$11,A58,'08.08'!$M$4:$M$11)+SUMIF('08.08'!$N$4:$N$11,A58,'08.08'!$O$4:$O$11)</f>
        <v>0</v>
      </c>
      <c r="P63" s="15">
        <f>SUMIF('09.08'!$B$4:$B$11,A58,'09.08'!$C$4:$C$11)+SUMIF('09.08'!$D$4:$D$11,A58,'09.08'!$E$4:$E$11)+SUMIF('09.08'!$F$4:$F$11,A58,'09.08'!$G$4:$G$11)+SUMIF('09.08'!$H$4:$H$11,A58,'09.08'!$I$4:$I$11)+SUMIF('09.08'!$J$4:$J$11,A58,'09.08'!$K$4:$K$11)+SUMIF('09.08'!$L$4:$L$11,A58,'09.08'!$M$4:$M$11)+SUMIF('09.08'!$N$4:$N$11,A58,'09.08'!$O$4:$O$11)</f>
        <v>0</v>
      </c>
      <c r="Q63" s="15">
        <f>SUMIF('10.08'!$B$4:$B$11,A58,'10.08'!$C$4:$C$11)+SUMIF('10.08'!$D$4:$D$11,A58,'10.08'!$E$4:$E$11)+SUMIF('10.08'!$F$4:$F$11,A58,'10.08'!$G$4:$G$11)+SUMIF('10.08'!$H$4:$H$11,A58,'10.08'!$I$4:$I$11)+SUMIF('10.08'!$J$4:$J$11,A58,'10.08'!$K$4:$K$11)+SUMIF('10.08'!$L$4:$L$11,A58,'10.08'!$M$4:$M$11)+SUMIF('10.08'!$N$4:$N$11,A58,'10.08'!$O$4:$O$11)</f>
        <v>0</v>
      </c>
      <c r="R63" s="16" t="str">
        <f>SUMIF('11.08'!$B$4:$B$11,A63,'11.08'!$C$4:$C$11)+SUMIF('11.08'!$D$4:$D$11,A63,'11.08'!$E$4:$E$11)+SUMIF('11.08'!$F$4:$F$11,A63,'11.08'!$G$4:$G$11)+SUMIF('11.08'!$H$4:$H$11,A63,'11.08'!$I$4:$I$11)+SUMIF('11.08'!$J$4:$J$11,A63,'11.08'!$K$4:$K$11)+SUMIF('11.08'!$L$4:$L$11,A63,'11.08'!$M$4:$M$11)+SUMIF('11.08'!$N$4:$N$11,A63,'11.08'!$O$4:$O$11)</f>
        <v>#N/A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</row>
    <row r="64">
      <c r="A64" s="39"/>
      <c r="B64" s="39"/>
      <c r="C64" s="39"/>
      <c r="D64" s="39"/>
      <c r="E64" s="10" t="s">
        <v>8</v>
      </c>
      <c r="F64" s="40"/>
      <c r="G64" s="18" t="str">
        <f t="shared" si="10"/>
        <v>Введите занчения</v>
      </c>
      <c r="H64" s="41" t="str">
        <f>SUM(H2:H63)</f>
        <v>#VALUE!</v>
      </c>
      <c r="I64" s="14">
        <f>SUMIF('02.08'!$B$4:$B$11,A59,'02.08'!$C$4:$C$11)+SUMIF('02.08'!$D$4:$D$11,A59,'02.08'!$E$4:$E$11)+SUMIF('02.08'!$F$4:$F$11,A59,'02.08'!$G$4:$G$11)+SUMIF('02.08'!$H$4:$H$11,A59,'02.08'!$I$4:$I$11)+SUMIF('02.08'!$J$4:$J$11,A59,'02.08'!$K$4:$K$11)+SUMIF('02.08'!$L$4:$L$11,A59,'02.08'!$M$4:$M$11)+SUMIF('02.08'!$N$4:$N$11,A59,'02.08'!$O$4:$O$11)</f>
        <v>0</v>
      </c>
      <c r="J64" s="15">
        <f>SUMIF('03.08'!$B$4:$B$11,A59,'03.08'!$C$4:$C$11)+SUMIF('03.08'!$D$4:$D$11,A59,'03.08'!$E$4:$E$11)+SUMIF('03.08'!$F$4:$F$11,A59,'03.08'!$G$4:$G$11)+SUMIF('03.08'!$H$4:$H$11,A59,'03.08'!$I$4:$I$11)+SUMIF('03.08'!$J$4:$J$11,A59,'03.08'!$K$4:$K$11)+SUMIF('03.08'!$L$4:$L$11,A59,'03.08'!$M$4:$M$11)+SUMIF('03.08'!$N$4:$N$11,A59,'03.08'!$O$4:$O$11)</f>
        <v>0</v>
      </c>
      <c r="K64" s="15">
        <f>SUMIF('04.08'!$B$4:$B$11,A59,'04.08'!$C$4:$C$11)+SUMIF('04.08'!$D$4:$D$11,A59,'04.08'!$E$4:$E$11)+SUMIF('04.08'!$F$4:$F$11,A59,'04.08'!$G$4:$G$11)+SUMIF('04.08'!$H$4:$H$11,A59,'04.08'!$I$4:$I$11)+SUMIF('04.08'!$J$4:$J$11,A59,'04.08'!$K$4:$K$11)+SUMIF('04.08'!$L$4:$L$11,A59,'04.08'!$M$4:$M$11)+SUMIF('04.08'!$N$4:$N$11,A59,'04.08'!$O$4:$O$11)</f>
        <v>0</v>
      </c>
      <c r="L64" s="15">
        <f>SUMIF('05.08'!$B$4:$B$11,A59,'05.08'!$C$4:$C$11)+SUMIF('05.08'!$D$4:$D$11,A59,'05.08'!$E$4:$E$11)+SUMIF('05.08'!$F$4:$F$11,A59,'05.08'!$G$4:$G$11)+SUMIF('05.08'!$H$4:$H$11,A59,'05.08'!$I$4:$I$11)+SUMIF('05.08'!$J$4:$J$11,A59,'05.08'!$K$4:$K$11)+SUMIF('05.08'!$L$4:$L$11,A59,'05.08'!$M$4:$M$11)+SUMIF('05.08'!$N$4:$N$11,A59,'05.08'!$O$4:$O$11)</f>
        <v>0</v>
      </c>
      <c r="M64" s="15">
        <f>SUMIF('06.08'!$B$4:$B$11,A59,'06.08'!$C$4:$C$11)+SUMIF('06.08'!$D$4:$D$11,A59,'06.08'!$E$4:$E$11)+SUMIF('06.08'!$F$4:$F$11,A59,'06.08'!$G$4:$G$11)+SUMIF('06.08'!$H$4:$H$11,A59,'06.08'!$I$4:$I$11)+SUMIF('06.08'!$J$4:$J$11,A59,'06.08'!$K$4:$K$11)+SUMIF('06.08'!$L$4:$L$11,A59,'06.08'!$M$4:$M$11)+SUMIF('06.08'!$N$4:$N$11,A59,'06.08'!$O$4:$O$11)</f>
        <v>0</v>
      </c>
      <c r="N64" s="15">
        <f>SUMIF('07.08'!$B$4:$B$11,A59,'07.08'!$C$4:$C$11)+SUMIF('07.08'!$D$4:$D$11,A59,'07.08'!$E$4:$E$11)+SUMIF('07.08'!$F$4:$F$11,A59,'07.08'!$G$4:$G$11)+SUMIF('07.08'!$H$4:$H$11,A59,'07.08'!$I$4:$I$11)+SUMIF('07.08'!$J$4:$J$11,A59,'07.08'!$K$4:$K$11)+SUMIF('07.08'!$L$4:$L$11,A59,'07.08'!$M$4:$M$11)+SUMIF('07.08'!$N$4:$N$11,A59,'07.08'!$O$4:$O$11)</f>
        <v>0</v>
      </c>
      <c r="O64" s="15">
        <f>SUMIF('08.08'!$B$4:$B$11,A59,'08.08'!$C$4:$C$11)+SUMIF('08.08'!$D$4:$D$11,A59,'08.08'!$E$4:$E$11)+SUMIF('08.08'!$F$4:$F$11,A59,'08.08'!$G$4:$G$11)+SUMIF('08.08'!$H$4:$H$11,A59,'08.08'!$I$4:$I$11)+SUMIF('08.08'!$J$4:$J$11,A59,'08.08'!$K$4:$K$11)+SUMIF('08.08'!$L$4:$L$11,A59,'08.08'!$M$4:$M$11)+SUMIF('08.08'!$N$4:$N$11,A59,'08.08'!$O$4:$O$11)</f>
        <v>0</v>
      </c>
      <c r="P64" s="15">
        <f>SUMIF('09.08'!$B$4:$B$11,A59,'09.08'!$C$4:$C$11)+SUMIF('09.08'!$D$4:$D$11,A59,'09.08'!$E$4:$E$11)+SUMIF('09.08'!$F$4:$F$11,A59,'09.08'!$G$4:$G$11)+SUMIF('09.08'!$H$4:$H$11,A59,'09.08'!$I$4:$I$11)+SUMIF('09.08'!$J$4:$J$11,A59,'09.08'!$K$4:$K$11)+SUMIF('09.08'!$L$4:$L$11,A59,'09.08'!$M$4:$M$11)+SUMIF('09.08'!$N$4:$N$11,A59,'09.08'!$O$4:$O$11)</f>
        <v>0</v>
      </c>
      <c r="Q64" s="15">
        <f>SUMIF('10.08'!$B$4:$B$11,A59,'10.08'!$C$4:$C$11)+SUMIF('10.08'!$D$4:$D$11,A59,'10.08'!$E$4:$E$11)+SUMIF('10.08'!$F$4:$F$11,A59,'10.08'!$G$4:$G$11)+SUMIF('10.08'!$H$4:$H$11,A59,'10.08'!$I$4:$I$11)+SUMIF('10.08'!$J$4:$J$11,A59,'10.08'!$K$4:$K$11)+SUMIF('10.08'!$L$4:$L$11,A59,'10.08'!$M$4:$M$11)+SUMIF('10.08'!$N$4:$N$11,A59,'10.08'!$O$4:$O$11)</f>
        <v>0</v>
      </c>
      <c r="R64" s="16" t="str">
        <f>SUMIF('11.08'!$B$4:$B$11,A59,'11.08'!$C$4:$C$11)+SUMIF('11.08'!$D$4:$D$11,A59,'11.08'!$E$4:$E$11)+SUMIF('11.08'!$F$4:$F$11,A59,'11.08'!$G$4:$G$11)+SUMIF('11.08'!$H$4:$H$11,A59,'11.08'!$I$4:$I$11)+SUMIF('11.08'!$J$4:$J$11,A59,'11.08'!$K$4:$K$11)+SUMIF('11.08'!$L$4:$L$11,A59,'11.08'!$M$4:$M$11)+SUMIF('11.08'!$N$4:$N$11,A59,'11.08'!$O$4:$O$11)</f>
        <v>#N/A</v>
      </c>
      <c r="S64" s="20">
        <f>SUM(H55:H62)</f>
        <v>5095</v>
      </c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>
      <c r="A65" s="39"/>
      <c r="B65" s="39"/>
      <c r="C65" s="39"/>
      <c r="D65" s="39"/>
      <c r="E65" s="10" t="s">
        <v>8</v>
      </c>
      <c r="F65" s="40"/>
      <c r="G65" s="18" t="str">
        <f t="shared" si="10"/>
        <v>Введите занчения</v>
      </c>
      <c r="H65" s="42" t="str">
        <f t="shared" ref="H65:H183" si="12">IFERROR(G65*D65,"Введите занчения")</f>
        <v>Введите занчения</v>
      </c>
      <c r="I65" s="14">
        <f>SUMIF('02.08'!$B$4:$B$11,A61,'02.08'!$C$4:$C$11)+SUMIF('02.08'!$D$4:$D$11,A61,'02.08'!$E$4:$E$11)+SUMIF('02.08'!$F$4:$F$11,A61,'02.08'!$G$4:$G$11)+SUMIF('02.08'!$H$4:$H$11,A61,'02.08'!$I$4:$I$11)+SUMIF('02.08'!$J$4:$J$11,A61,'02.08'!$K$4:$K$11)+SUMIF('02.08'!$L$4:$L$11,A61,'02.08'!$M$4:$M$11)+SUMIF('02.08'!$N$4:$N$11,A61,'02.08'!$O$4:$O$11)</f>
        <v>0</v>
      </c>
      <c r="J65" s="15">
        <f>SUMIF('03.08'!$B$4:$B$11,A61,'03.08'!$C$4:$C$11)+SUMIF('03.08'!$D$4:$D$11,A61,'03.08'!$E$4:$E$11)+SUMIF('03.08'!$F$4:$F$11,A61,'03.08'!$G$4:$G$11)+SUMIF('03.08'!$H$4:$H$11,A61,'03.08'!$I$4:$I$11)+SUMIF('03.08'!$J$4:$J$11,A61,'03.08'!$K$4:$K$11)+SUMIF('03.08'!$L$4:$L$11,A61,'03.08'!$M$4:$M$11)+SUMIF('03.08'!$N$4:$N$11,A61,'03.08'!$O$4:$O$11)</f>
        <v>0</v>
      </c>
      <c r="K65" s="15">
        <f>SUMIF('04.08'!$B$4:$B$11,A61,'04.08'!$C$4:$C$11)+SUMIF('04.08'!$D$4:$D$11,A61,'04.08'!$E$4:$E$11)+SUMIF('04.08'!$F$4:$F$11,A61,'04.08'!$G$4:$G$11)+SUMIF('04.08'!$H$4:$H$11,A61,'04.08'!$I$4:$I$11)+SUMIF('04.08'!$J$4:$J$11,A61,'04.08'!$K$4:$K$11)+SUMIF('04.08'!$L$4:$L$11,A61,'04.08'!$M$4:$M$11)+SUMIF('04.08'!$N$4:$N$11,A61,'04.08'!$O$4:$O$11)</f>
        <v>0</v>
      </c>
      <c r="L65" s="15">
        <f>SUMIF('05.08'!$B$4:$B$11,A61,'05.08'!$C$4:$C$11)+SUMIF('05.08'!$D$4:$D$11,A61,'05.08'!$E$4:$E$11)+SUMIF('05.08'!$F$4:$F$11,A61,'05.08'!$G$4:$G$11)+SUMIF('05.08'!$H$4:$H$11,A61,'05.08'!$I$4:$I$11)+SUMIF('05.08'!$J$4:$J$11,A61,'05.08'!$K$4:$K$11)+SUMIF('05.08'!$L$4:$L$11,A61,'05.08'!$M$4:$M$11)+SUMIF('05.08'!$N$4:$N$11,A61,'05.08'!$O$4:$O$11)</f>
        <v>0</v>
      </c>
      <c r="M65" s="15">
        <f>SUMIF('06.08'!$B$4:$B$11,A61,'06.08'!$C$4:$C$11)+SUMIF('06.08'!$D$4:$D$11,A61,'06.08'!$E$4:$E$11)+SUMIF('06.08'!$F$4:$F$11,A61,'06.08'!$G$4:$G$11)+SUMIF('06.08'!$H$4:$H$11,A61,'06.08'!$I$4:$I$11)+SUMIF('06.08'!$J$4:$J$11,A61,'06.08'!$K$4:$K$11)+SUMIF('06.08'!$L$4:$L$11,A61,'06.08'!$M$4:$M$11)+SUMIF('06.08'!$N$4:$N$11,A61,'06.08'!$O$4:$O$11)</f>
        <v>0</v>
      </c>
      <c r="N65" s="15">
        <f>SUMIF('07.08'!$B$4:$B$11,A61,'07.08'!$C$4:$C$11)+SUMIF('07.08'!$D$4:$D$11,A61,'07.08'!$E$4:$E$11)+SUMIF('07.08'!$F$4:$F$11,A61,'07.08'!$G$4:$G$11)+SUMIF('07.08'!$H$4:$H$11,A61,'07.08'!$I$4:$I$11)+SUMIF('07.08'!$J$4:$J$11,A61,'07.08'!$K$4:$K$11)+SUMIF('07.08'!$L$4:$L$11,A61,'07.08'!$M$4:$M$11)+SUMIF('07.08'!$N$4:$N$11,A61,'07.08'!$O$4:$O$11)</f>
        <v>0</v>
      </c>
      <c r="O65" s="15">
        <f>SUMIF('08.08'!$B$4:$B$11,A61,'08.08'!$C$4:$C$11)+SUMIF('08.08'!$D$4:$D$11,A61,'08.08'!$E$4:$E$11)+SUMIF('08.08'!$F$4:$F$11,A61,'08.08'!$G$4:$G$11)+SUMIF('08.08'!$H$4:$H$11,A61,'08.08'!$I$4:$I$11)+SUMIF('08.08'!$J$4:$J$11,A61,'08.08'!$K$4:$K$11)+SUMIF('08.08'!$L$4:$L$11,A61,'08.08'!$M$4:$M$11)+SUMIF('08.08'!$N$4:$N$11,A61,'08.08'!$O$4:$O$11)</f>
        <v>0</v>
      </c>
      <c r="P65" s="15">
        <f>SUMIF('09.08'!$B$4:$B$11,A61,'09.08'!$C$4:$C$11)+SUMIF('09.08'!$D$4:$D$11,A61,'09.08'!$E$4:$E$11)+SUMIF('09.08'!$F$4:$F$11,A61,'09.08'!$G$4:$G$11)+SUMIF('09.08'!$H$4:$H$11,A61,'09.08'!$I$4:$I$11)+SUMIF('09.08'!$J$4:$J$11,A61,'09.08'!$K$4:$K$11)+SUMIF('09.08'!$L$4:$L$11,A61,'09.08'!$M$4:$M$11)+SUMIF('09.08'!$N$4:$N$11,A61,'09.08'!$O$4:$O$11)</f>
        <v>0</v>
      </c>
      <c r="Q65" s="15">
        <f>SUMIF('10.08'!$B$4:$B$11,A61,'10.08'!$C$4:$C$11)+SUMIF('10.08'!$D$4:$D$11,A61,'10.08'!$E$4:$E$11)+SUMIF('10.08'!$F$4:$F$11,A61,'10.08'!$G$4:$G$11)+SUMIF('10.08'!$H$4:$H$11,A61,'10.08'!$I$4:$I$11)+SUMIF('10.08'!$J$4:$J$11,A61,'10.08'!$K$4:$K$11)+SUMIF('10.08'!$L$4:$L$11,A61,'10.08'!$M$4:$M$11)+SUMIF('10.08'!$N$4:$N$11,A61,'10.08'!$O$4:$O$11)</f>
        <v>0</v>
      </c>
      <c r="R65" s="16" t="str">
        <f t="shared" ref="R65:R66" si="13">SUMIF('11.08'!$B$4:$B$11,A61,'11.08'!$C$4:$C$11)+SUMIF('11.08'!$D$4:$D$11,A61,'11.08'!$E$4:$E$11)+SUMIF('11.08'!$F$4:$F$11,A61,'11.08'!$G$4:$G$11)+SUMIF('11.08'!$H$4:$H$11,A61,'11.08'!$I$4:$I$11)+SUMIF('11.08'!$J$4:$J$11,A61,'11.08'!$K$4:$K$11)+SUMIF('11.08'!$L$4:$L$11,A61,'11.08'!$M$4:$M$11)+SUMIF('11.08'!$N$4:$N$11,A61,'11.08'!$O$4:$O$11)</f>
        <v>#N/A</v>
      </c>
      <c r="S65" s="43" t="str">
        <f>H64-H47</f>
        <v>#VALUE!</v>
      </c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>
      <c r="A66" s="39"/>
      <c r="B66" s="39"/>
      <c r="C66" s="39"/>
      <c r="D66" s="39"/>
      <c r="E66" s="10" t="s">
        <v>8</v>
      </c>
      <c r="F66" s="40"/>
      <c r="G66" s="18" t="str">
        <f t="shared" si="10"/>
        <v>Введите занчения</v>
      </c>
      <c r="H66" s="42" t="str">
        <f t="shared" si="12"/>
        <v>Введите занчения</v>
      </c>
      <c r="I66" s="14">
        <f>SUMIF('02.08'!$B$4:$B$11,A62,'02.08'!$C$4:$C$11)+SUMIF('02.08'!$D$4:$D$11,A62,'02.08'!$E$4:$E$11)+SUMIF('02.08'!$F$4:$F$11,A62,'02.08'!$G$4:$G$11)+SUMIF('02.08'!$H$4:$H$11,A62,'02.08'!$I$4:$I$11)+SUMIF('02.08'!$J$4:$J$11,A62,'02.08'!$K$4:$K$11)+SUMIF('02.08'!$L$4:$L$11,A62,'02.08'!$M$4:$M$11)+SUMIF('02.08'!$N$4:$N$11,A62,'02.08'!$O$4:$O$11)</f>
        <v>0</v>
      </c>
      <c r="J66" s="15">
        <f>SUMIF('03.08'!$B$4:$B$11,A62,'03.08'!$C$4:$C$11)+SUMIF('03.08'!$D$4:$D$11,A62,'03.08'!$E$4:$E$11)+SUMIF('03.08'!$F$4:$F$11,A62,'03.08'!$G$4:$G$11)+SUMIF('03.08'!$H$4:$H$11,A62,'03.08'!$I$4:$I$11)+SUMIF('03.08'!$J$4:$J$11,A62,'03.08'!$K$4:$K$11)+SUMIF('03.08'!$L$4:$L$11,A62,'03.08'!$M$4:$M$11)+SUMIF('03.08'!$N$4:$N$11,A62,'03.08'!$O$4:$O$11)</f>
        <v>0</v>
      </c>
      <c r="K66" s="15">
        <f>SUMIF('04.08'!$B$4:$B$11,A62,'04.08'!$C$4:$C$11)+SUMIF('04.08'!$D$4:$D$11,A62,'04.08'!$E$4:$E$11)+SUMIF('04.08'!$F$4:$F$11,A62,'04.08'!$G$4:$G$11)+SUMIF('04.08'!$H$4:$H$11,A62,'04.08'!$I$4:$I$11)+SUMIF('04.08'!$J$4:$J$11,A62,'04.08'!$K$4:$K$11)+SUMIF('04.08'!$L$4:$L$11,A62,'04.08'!$M$4:$M$11)+SUMIF('04.08'!$N$4:$N$11,A62,'04.08'!$O$4:$O$11)</f>
        <v>0</v>
      </c>
      <c r="L66" s="15">
        <f>SUMIF('05.08'!$B$4:$B$11,A62,'05.08'!$C$4:$C$11)+SUMIF('05.08'!$D$4:$D$11,A62,'05.08'!$E$4:$E$11)+SUMIF('05.08'!$F$4:$F$11,A62,'05.08'!$G$4:$G$11)+SUMIF('05.08'!$H$4:$H$11,A62,'05.08'!$I$4:$I$11)+SUMIF('05.08'!$J$4:$J$11,A62,'05.08'!$K$4:$K$11)+SUMIF('05.08'!$L$4:$L$11,A62,'05.08'!$M$4:$M$11)+SUMIF('05.08'!$N$4:$N$11,A62,'05.08'!$O$4:$O$11)</f>
        <v>0</v>
      </c>
      <c r="M66" s="15">
        <f>SUMIF('06.08'!$B$4:$B$11,A62,'06.08'!$C$4:$C$11)+SUMIF('06.08'!$D$4:$D$11,A62,'06.08'!$E$4:$E$11)+SUMIF('06.08'!$F$4:$F$11,A62,'06.08'!$G$4:$G$11)+SUMIF('06.08'!$H$4:$H$11,A62,'06.08'!$I$4:$I$11)+SUMIF('06.08'!$J$4:$J$11,A62,'06.08'!$K$4:$K$11)+SUMIF('06.08'!$L$4:$L$11,A62,'06.08'!$M$4:$M$11)+SUMIF('06.08'!$N$4:$N$11,A62,'06.08'!$O$4:$O$11)</f>
        <v>0</v>
      </c>
      <c r="N66" s="15">
        <f>SUMIF('07.08'!$B$4:$B$11,A62,'07.08'!$C$4:$C$11)+SUMIF('07.08'!$D$4:$D$11,A62,'07.08'!$E$4:$E$11)+SUMIF('07.08'!$F$4:$F$11,A62,'07.08'!$G$4:$G$11)+SUMIF('07.08'!$H$4:$H$11,A62,'07.08'!$I$4:$I$11)+SUMIF('07.08'!$J$4:$J$11,A62,'07.08'!$K$4:$K$11)+SUMIF('07.08'!$L$4:$L$11,A62,'07.08'!$M$4:$M$11)+SUMIF('07.08'!$N$4:$N$11,A62,'07.08'!$O$4:$O$11)</f>
        <v>0</v>
      </c>
      <c r="O66" s="15">
        <f>SUMIF('08.08'!$B$4:$B$11,A62,'08.08'!$C$4:$C$11)+SUMIF('08.08'!$D$4:$D$11,A62,'08.08'!$E$4:$E$11)+SUMIF('08.08'!$F$4:$F$11,A62,'08.08'!$G$4:$G$11)+SUMIF('08.08'!$H$4:$H$11,A62,'08.08'!$I$4:$I$11)+SUMIF('08.08'!$J$4:$J$11,A62,'08.08'!$K$4:$K$11)+SUMIF('08.08'!$L$4:$L$11,A62,'08.08'!$M$4:$M$11)+SUMIF('08.08'!$N$4:$N$11,A62,'08.08'!$O$4:$O$11)</f>
        <v>0</v>
      </c>
      <c r="P66" s="15">
        <f>SUMIF('09.08'!$B$4:$B$11,A62,'09.08'!$C$4:$C$11)+SUMIF('09.08'!$D$4:$D$11,A62,'09.08'!$E$4:$E$11)+SUMIF('09.08'!$F$4:$F$11,A62,'09.08'!$G$4:$G$11)+SUMIF('09.08'!$H$4:$H$11,A62,'09.08'!$I$4:$I$11)+SUMIF('09.08'!$J$4:$J$11,A62,'09.08'!$K$4:$K$11)+SUMIF('09.08'!$L$4:$L$11,A62,'09.08'!$M$4:$M$11)+SUMIF('09.08'!$N$4:$N$11,A62,'09.08'!$O$4:$O$11)</f>
        <v>0</v>
      </c>
      <c r="Q66" s="15">
        <f>SUMIF('10.08'!$B$4:$B$11,A62,'10.08'!$C$4:$C$11)+SUMIF('10.08'!$D$4:$D$11,A62,'10.08'!$E$4:$E$11)+SUMIF('10.08'!$F$4:$F$11,A62,'10.08'!$G$4:$G$11)+SUMIF('10.08'!$H$4:$H$11,A62,'10.08'!$I$4:$I$11)+SUMIF('10.08'!$J$4:$J$11,A62,'10.08'!$K$4:$K$11)+SUMIF('10.08'!$L$4:$L$11,A62,'10.08'!$M$4:$M$11)+SUMIF('10.08'!$N$4:$N$11,A62,'10.08'!$O$4:$O$11)</f>
        <v>0</v>
      </c>
      <c r="R66" s="16" t="str">
        <f t="shared" si="13"/>
        <v>#N/A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</row>
    <row r="67">
      <c r="A67" s="39"/>
      <c r="B67" s="39"/>
      <c r="C67" s="39"/>
      <c r="D67" s="39"/>
      <c r="E67" s="10" t="s">
        <v>8</v>
      </c>
      <c r="F67" s="40"/>
      <c r="G67" s="18" t="str">
        <f t="shared" si="10"/>
        <v>Введите занчения</v>
      </c>
      <c r="H67" s="42" t="str">
        <f t="shared" si="12"/>
        <v>Введите занчения</v>
      </c>
      <c r="I67" s="14">
        <f>SUMIF('02.08'!$B$4:$B$11,A63,'02.08'!$C$4:$C$11)+SUMIF('02.08'!$D$4:$D$11,A63,'02.08'!$E$4:$E$11)+SUMIF('02.08'!$F$4:$F$11,A63,'02.08'!$G$4:$G$11)+SUMIF('02.08'!$H$4:$H$11,A63,'02.08'!$I$4:$I$11)+SUMIF('02.08'!$J$4:$J$11,A63,'02.08'!$K$4:$K$11)+SUMIF('02.08'!$L$4:$L$11,A63,'02.08'!$M$4:$M$11)+SUMIF('02.08'!$N$4:$N$11,A63,'02.08'!$O$4:$O$11)</f>
        <v>0</v>
      </c>
      <c r="J67" s="15">
        <f>SUMIF('03.08'!$B$4:$B$11,A63,'03.08'!$C$4:$C$11)+SUMIF('03.08'!$D$4:$D$11,A63,'03.08'!$E$4:$E$11)+SUMIF('03.08'!$F$4:$F$11,A63,'03.08'!$G$4:$G$11)+SUMIF('03.08'!$H$4:$H$11,A63,'03.08'!$I$4:$I$11)+SUMIF('03.08'!$J$4:$J$11,A63,'03.08'!$K$4:$K$11)+SUMIF('03.08'!$L$4:$L$11,A63,'03.08'!$M$4:$M$11)+SUMIF('03.08'!$N$4:$N$11,A63,'03.08'!$O$4:$O$11)</f>
        <v>0</v>
      </c>
      <c r="K67" s="15">
        <f>SUMIF('04.08'!$B$4:$B$11,A63,'04.08'!$C$4:$C$11)+SUMIF('04.08'!$D$4:$D$11,A63,'04.08'!$E$4:$E$11)+SUMIF('04.08'!$F$4:$F$11,A63,'04.08'!$G$4:$G$11)+SUMIF('04.08'!$H$4:$H$11,A63,'04.08'!$I$4:$I$11)+SUMIF('04.08'!$J$4:$J$11,A63,'04.08'!$K$4:$K$11)+SUMIF('04.08'!$L$4:$L$11,A63,'04.08'!$M$4:$M$11)+SUMIF('04.08'!$N$4:$N$11,A63,'04.08'!$O$4:$O$11)</f>
        <v>0</v>
      </c>
      <c r="L67" s="15">
        <f>SUMIF('05.08'!$B$4:$B$11,A63,'05.08'!$C$4:$C$11)+SUMIF('05.08'!$D$4:$D$11,A63,'05.08'!$E$4:$E$11)+SUMIF('05.08'!$F$4:$F$11,A63,'05.08'!$G$4:$G$11)+SUMIF('05.08'!$H$4:$H$11,A63,'05.08'!$I$4:$I$11)+SUMIF('05.08'!$J$4:$J$11,A63,'05.08'!$K$4:$K$11)+SUMIF('05.08'!$L$4:$L$11,A63,'05.08'!$M$4:$M$11)+SUMIF('05.08'!$N$4:$N$11,A63,'05.08'!$O$4:$O$11)</f>
        <v>0</v>
      </c>
      <c r="M67" s="15">
        <f>SUMIF('06.08'!$B$4:$B$11,A63,'06.08'!$C$4:$C$11)+SUMIF('06.08'!$D$4:$D$11,A63,'06.08'!$E$4:$E$11)+SUMIF('06.08'!$F$4:$F$11,A63,'06.08'!$G$4:$G$11)+SUMIF('06.08'!$H$4:$H$11,A63,'06.08'!$I$4:$I$11)+SUMIF('06.08'!$J$4:$J$11,A63,'06.08'!$K$4:$K$11)+SUMIF('06.08'!$L$4:$L$11,A63,'06.08'!$M$4:$M$11)+SUMIF('06.08'!$N$4:$N$11,A63,'06.08'!$O$4:$O$11)</f>
        <v>0</v>
      </c>
      <c r="N67" s="15">
        <f>SUMIF('07.08'!$B$4:$B$11,A63,'07.08'!$C$4:$C$11)+SUMIF('07.08'!$D$4:$D$11,A63,'07.08'!$E$4:$E$11)+SUMIF('07.08'!$F$4:$F$11,A63,'07.08'!$G$4:$G$11)+SUMIF('07.08'!$H$4:$H$11,A63,'07.08'!$I$4:$I$11)+SUMIF('07.08'!$J$4:$J$11,A63,'07.08'!$K$4:$K$11)+SUMIF('07.08'!$L$4:$L$11,A63,'07.08'!$M$4:$M$11)+SUMIF('07.08'!$N$4:$N$11,A63,'07.08'!$O$4:$O$11)</f>
        <v>0</v>
      </c>
      <c r="O67" s="15">
        <f>SUMIF('08.08'!$B$4:$B$11,A63,'08.08'!$C$4:$C$11)+SUMIF('08.08'!$D$4:$D$11,A63,'08.08'!$E$4:$E$11)+SUMIF('08.08'!$F$4:$F$11,A63,'08.08'!$G$4:$G$11)+SUMIF('08.08'!$H$4:$H$11,A63,'08.08'!$I$4:$I$11)+SUMIF('08.08'!$J$4:$J$11,A63,'08.08'!$K$4:$K$11)+SUMIF('08.08'!$L$4:$L$11,A63,'08.08'!$M$4:$M$11)+SUMIF('08.08'!$N$4:$N$11,A63,'08.08'!$O$4:$O$11)</f>
        <v>0</v>
      </c>
      <c r="P67" s="15">
        <f>SUMIF('09.08'!$B$4:$B$11,A63,'09.08'!$C$4:$C$11)+SUMIF('09.08'!$D$4:$D$11,A63,'09.08'!$E$4:$E$11)+SUMIF('09.08'!$F$4:$F$11,A63,'09.08'!$G$4:$G$11)+SUMIF('09.08'!$H$4:$H$11,A63,'09.08'!$I$4:$I$11)+SUMIF('09.08'!$J$4:$J$11,A63,'09.08'!$K$4:$K$11)+SUMIF('09.08'!$L$4:$L$11,A63,'09.08'!$M$4:$M$11)+SUMIF('09.08'!$N$4:$N$11,A63,'09.08'!$O$4:$O$11)</f>
        <v>0</v>
      </c>
      <c r="Q67" s="15">
        <f>SUMIF('10.08'!$B$4:$B$11,A63,'10.08'!$C$4:$C$11)+SUMIF('10.08'!$D$4:$D$11,A63,'10.08'!$E$4:$E$11)+SUMIF('10.08'!$F$4:$F$11,A63,'10.08'!$G$4:$G$11)+SUMIF('10.08'!$H$4:$H$11,A63,'10.08'!$I$4:$I$11)+SUMIF('10.08'!$J$4:$J$11,A63,'10.08'!$K$4:$K$11)+SUMIF('10.08'!$L$4:$L$11,A63,'10.08'!$M$4:$M$11)+SUMIF('10.08'!$N$4:$N$11,A63,'10.08'!$O$4:$O$11)</f>
        <v>0</v>
      </c>
      <c r="R67" s="16">
        <f>SUMIF('10.08'!$B$4:$B$11,B63,'10.08'!$C$4:$C$11)+SUMIF('10.08'!$D$4:$D$11,B63,'10.08'!$E$4:$E$11)+SUMIF('10.08'!$F$4:$F$11,B63,'10.08'!$G$4:$G$11)+SUMIF('10.08'!$H$4:$H$11,B63,'10.08'!$I$4:$I$11)+SUMIF('10.08'!$J$4:$J$11,B63,'10.08'!$K$4:$K$11)+SUMIF('10.08'!$L$4:$L$11,B63,'10.08'!$M$4:$M$11)+SUMIF('10.08'!$N$4:$N$11,B63,'10.08'!$O$4:$O$11)</f>
        <v>0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</row>
    <row r="68">
      <c r="A68" s="39"/>
      <c r="B68" s="39"/>
      <c r="C68" s="39"/>
      <c r="D68" s="39"/>
      <c r="E68" s="10" t="s">
        <v>8</v>
      </c>
      <c r="F68" s="40"/>
      <c r="G68" s="18" t="str">
        <f t="shared" si="10"/>
        <v>Введите занчения</v>
      </c>
      <c r="H68" s="42" t="str">
        <f t="shared" si="12"/>
        <v>Введите занчения</v>
      </c>
      <c r="I68" s="14">
        <f>SUMIF('02.08'!$B$4:$B$11,A64,'02.08'!$C$4:$C$11)+SUMIF('02.08'!$D$4:$D$11,A64,'02.08'!$E$4:$E$11)+SUMIF('02.08'!$F$4:$F$11,A64,'02.08'!$G$4:$G$11)+SUMIF('02.08'!$H$4:$H$11,A64,'02.08'!$I$4:$I$11)+SUMIF('02.08'!$J$4:$J$11,A64,'02.08'!$K$4:$K$11)+SUMIF('02.08'!$L$4:$L$11,A64,'02.08'!$M$4:$M$11)+SUMIF('02.08'!$N$4:$N$11,A64,'02.08'!$O$4:$O$11)</f>
        <v>0</v>
      </c>
      <c r="J68" s="15">
        <f>SUMIF('03.08'!$B$4:$B$11,A64,'03.08'!$C$4:$C$11)+SUMIF('03.08'!$D$4:$D$11,A64,'03.08'!$E$4:$E$11)+SUMIF('03.08'!$F$4:$F$11,A64,'03.08'!$G$4:$G$11)+SUMIF('03.08'!$H$4:$H$11,A64,'03.08'!$I$4:$I$11)+SUMIF('03.08'!$J$4:$J$11,A64,'03.08'!$K$4:$K$11)+SUMIF('03.08'!$L$4:$L$11,A64,'03.08'!$M$4:$M$11)+SUMIF('03.08'!$N$4:$N$11,A64,'03.08'!$O$4:$O$11)</f>
        <v>0</v>
      </c>
      <c r="K68" s="15">
        <f>SUMIF('04.08'!$B$4:$B$11,A64,'04.08'!$C$4:$C$11)+SUMIF('04.08'!$D$4:$D$11,A64,'04.08'!$E$4:$E$11)+SUMIF('04.08'!$F$4:$F$11,A64,'04.08'!$G$4:$G$11)+SUMIF('04.08'!$H$4:$H$11,A64,'04.08'!$I$4:$I$11)+SUMIF('04.08'!$J$4:$J$11,A64,'04.08'!$K$4:$K$11)+SUMIF('04.08'!$L$4:$L$11,A64,'04.08'!$M$4:$M$11)+SUMIF('04.08'!$N$4:$N$11,A64,'04.08'!$O$4:$O$11)</f>
        <v>0</v>
      </c>
      <c r="L68" s="15">
        <f>SUMIF('05.08'!$B$4:$B$11,A64,'05.08'!$C$4:$C$11)+SUMIF('05.08'!$D$4:$D$11,A64,'05.08'!$E$4:$E$11)+SUMIF('05.08'!$F$4:$F$11,A64,'05.08'!$G$4:$G$11)+SUMIF('05.08'!$H$4:$H$11,A64,'05.08'!$I$4:$I$11)+SUMIF('05.08'!$J$4:$J$11,A64,'05.08'!$K$4:$K$11)+SUMIF('05.08'!$L$4:$L$11,A64,'05.08'!$M$4:$M$11)+SUMIF('05.08'!$N$4:$N$11,A64,'05.08'!$O$4:$O$11)</f>
        <v>0</v>
      </c>
      <c r="M68" s="15">
        <f>SUMIF('06.08'!$B$4:$B$11,A64,'06.08'!$C$4:$C$11)+SUMIF('06.08'!$D$4:$D$11,A64,'06.08'!$E$4:$E$11)+SUMIF('06.08'!$F$4:$F$11,A64,'06.08'!$G$4:$G$11)+SUMIF('06.08'!$H$4:$H$11,A64,'06.08'!$I$4:$I$11)+SUMIF('06.08'!$J$4:$J$11,A64,'06.08'!$K$4:$K$11)+SUMIF('06.08'!$L$4:$L$11,A64,'06.08'!$M$4:$M$11)+SUMIF('06.08'!$N$4:$N$11,A64,'06.08'!$O$4:$O$11)</f>
        <v>0</v>
      </c>
      <c r="N68" s="15">
        <f>SUMIF('07.08'!$B$4:$B$11,A64,'07.08'!$C$4:$C$11)+SUMIF('07.08'!$D$4:$D$11,A64,'07.08'!$E$4:$E$11)+SUMIF('07.08'!$F$4:$F$11,A64,'07.08'!$G$4:$G$11)+SUMIF('07.08'!$H$4:$H$11,A64,'07.08'!$I$4:$I$11)+SUMIF('07.08'!$J$4:$J$11,A64,'07.08'!$K$4:$K$11)+SUMIF('07.08'!$L$4:$L$11,A64,'07.08'!$M$4:$M$11)+SUMIF('07.08'!$N$4:$N$11,A64,'07.08'!$O$4:$O$11)</f>
        <v>0</v>
      </c>
      <c r="O68" s="15">
        <f>SUMIF('08.08'!$B$4:$B$11,A64,'08.08'!$C$4:$C$11)+SUMIF('08.08'!$D$4:$D$11,A64,'08.08'!$E$4:$E$11)+SUMIF('08.08'!$F$4:$F$11,A64,'08.08'!$G$4:$G$11)+SUMIF('08.08'!$H$4:$H$11,A64,'08.08'!$I$4:$I$11)+SUMIF('08.08'!$J$4:$J$11,A64,'08.08'!$K$4:$K$11)+SUMIF('08.08'!$L$4:$L$11,A64,'08.08'!$M$4:$M$11)+SUMIF('08.08'!$N$4:$N$11,A64,'08.08'!$O$4:$O$11)</f>
        <v>0</v>
      </c>
      <c r="P68" s="15">
        <f>SUMIF('09.08'!$B$4:$B$11,A64,'09.08'!$C$4:$C$11)+SUMIF('09.08'!$D$4:$D$11,A64,'09.08'!$E$4:$E$11)+SUMIF('09.08'!$F$4:$F$11,A64,'09.08'!$G$4:$G$11)+SUMIF('09.08'!$H$4:$H$11,A64,'09.08'!$I$4:$I$11)+SUMIF('09.08'!$J$4:$J$11,A64,'09.08'!$K$4:$K$11)+SUMIF('09.08'!$L$4:$L$11,A64,'09.08'!$M$4:$M$11)+SUMIF('09.08'!$N$4:$N$11,A64,'09.08'!$O$4:$O$11)</f>
        <v>0</v>
      </c>
      <c r="Q68" s="15">
        <f>SUMIF('10.08'!$B$4:$B$11,A64,'10.08'!$C$4:$C$11)+SUMIF('10.08'!$D$4:$D$11,A64,'10.08'!$E$4:$E$11)+SUMIF('10.08'!$F$4:$F$11,A64,'10.08'!$G$4:$G$11)+SUMIF('10.08'!$H$4:$H$11,A64,'10.08'!$I$4:$I$11)+SUMIF('10.08'!$J$4:$J$11,A64,'10.08'!$K$4:$K$11)+SUMIF('10.08'!$L$4:$L$11,A64,'10.08'!$M$4:$M$11)+SUMIF('10.08'!$N$4:$N$11,A64,'10.08'!$O$4:$O$11)</f>
        <v>0</v>
      </c>
      <c r="R68" s="16" t="str">
        <f t="shared" ref="R68:R187" si="14">SUMIF('11.08'!$B$4:$B$11,A64,'11.08'!$C$4:$C$11)+SUMIF('11.08'!$D$4:$D$11,A64,'11.08'!$E$4:$E$11)+SUMIF('11.08'!$F$4:$F$11,A64,'11.08'!$G$4:$G$11)+SUMIF('11.08'!$H$4:$H$11,A64,'11.08'!$I$4:$I$11)+SUMIF('11.08'!$J$4:$J$11,A64,'11.08'!$K$4:$K$11)+SUMIF('11.08'!$L$4:$L$11,A64,'11.08'!$M$4:$M$11)+SUMIF('11.08'!$N$4:$N$11,A64,'11.08'!$O$4:$O$11)</f>
        <v>#N/A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>
      <c r="A69" s="39"/>
      <c r="B69" s="39"/>
      <c r="C69" s="39"/>
      <c r="D69" s="39"/>
      <c r="E69" s="10" t="s">
        <v>8</v>
      </c>
      <c r="F69" s="40"/>
      <c r="G69" s="18" t="str">
        <f t="shared" si="10"/>
        <v>Введите занчения</v>
      </c>
      <c r="H69" s="42" t="str">
        <f t="shared" si="12"/>
        <v>Введите занчения</v>
      </c>
      <c r="I69" s="14">
        <f>SUMIF('02.08'!$B$4:$B$11,A65,'02.08'!$C$4:$C$11)+SUMIF('02.08'!$D$4:$D$11,A65,'02.08'!$E$4:$E$11)+SUMIF('02.08'!$F$4:$F$11,A65,'02.08'!$G$4:$G$11)+SUMIF('02.08'!$H$4:$H$11,A65,'02.08'!$I$4:$I$11)+SUMIF('02.08'!$J$4:$J$11,A65,'02.08'!$K$4:$K$11)+SUMIF('02.08'!$L$4:$L$11,A65,'02.08'!$M$4:$M$11)+SUMIF('02.08'!$N$4:$N$11,A65,'02.08'!$O$4:$O$11)</f>
        <v>0</v>
      </c>
      <c r="J69" s="15">
        <f>SUMIF('03.08'!$B$4:$B$11,A65,'03.08'!$C$4:$C$11)+SUMIF('03.08'!$D$4:$D$11,A65,'03.08'!$E$4:$E$11)+SUMIF('03.08'!$F$4:$F$11,A65,'03.08'!$G$4:$G$11)+SUMIF('03.08'!$H$4:$H$11,A65,'03.08'!$I$4:$I$11)+SUMIF('03.08'!$J$4:$J$11,A65,'03.08'!$K$4:$K$11)+SUMIF('03.08'!$L$4:$L$11,A65,'03.08'!$M$4:$M$11)+SUMIF('03.08'!$N$4:$N$11,A65,'03.08'!$O$4:$O$11)</f>
        <v>0</v>
      </c>
      <c r="K69" s="15">
        <f>SUMIF('04.08'!$B$4:$B$11,A65,'04.08'!$C$4:$C$11)+SUMIF('04.08'!$D$4:$D$11,A65,'04.08'!$E$4:$E$11)+SUMIF('04.08'!$F$4:$F$11,A65,'04.08'!$G$4:$G$11)+SUMIF('04.08'!$H$4:$H$11,A65,'04.08'!$I$4:$I$11)+SUMIF('04.08'!$J$4:$J$11,A65,'04.08'!$K$4:$K$11)+SUMIF('04.08'!$L$4:$L$11,A65,'04.08'!$M$4:$M$11)+SUMIF('04.08'!$N$4:$N$11,A65,'04.08'!$O$4:$O$11)</f>
        <v>0</v>
      </c>
      <c r="L69" s="15">
        <f>SUMIF('05.08'!$B$4:$B$11,A65,'05.08'!$C$4:$C$11)+SUMIF('05.08'!$D$4:$D$11,A65,'05.08'!$E$4:$E$11)+SUMIF('05.08'!$F$4:$F$11,A65,'05.08'!$G$4:$G$11)+SUMIF('05.08'!$H$4:$H$11,A65,'05.08'!$I$4:$I$11)+SUMIF('05.08'!$J$4:$J$11,A65,'05.08'!$K$4:$K$11)+SUMIF('05.08'!$L$4:$L$11,A65,'05.08'!$M$4:$M$11)+SUMIF('05.08'!$N$4:$N$11,A65,'05.08'!$O$4:$O$11)</f>
        <v>0</v>
      </c>
      <c r="M69" s="15">
        <f>SUMIF('06.08'!$B$4:$B$11,A65,'06.08'!$C$4:$C$11)+SUMIF('06.08'!$D$4:$D$11,A65,'06.08'!$E$4:$E$11)+SUMIF('06.08'!$F$4:$F$11,A65,'06.08'!$G$4:$G$11)+SUMIF('06.08'!$H$4:$H$11,A65,'06.08'!$I$4:$I$11)+SUMIF('06.08'!$J$4:$J$11,A65,'06.08'!$K$4:$K$11)+SUMIF('06.08'!$L$4:$L$11,A65,'06.08'!$M$4:$M$11)+SUMIF('06.08'!$N$4:$N$11,A65,'06.08'!$O$4:$O$11)</f>
        <v>0</v>
      </c>
      <c r="N69" s="15">
        <f>SUMIF('07.08'!$B$4:$B$11,A65,'07.08'!$C$4:$C$11)+SUMIF('07.08'!$D$4:$D$11,A65,'07.08'!$E$4:$E$11)+SUMIF('07.08'!$F$4:$F$11,A65,'07.08'!$G$4:$G$11)+SUMIF('07.08'!$H$4:$H$11,A65,'07.08'!$I$4:$I$11)+SUMIF('07.08'!$J$4:$J$11,A65,'07.08'!$K$4:$K$11)+SUMIF('07.08'!$L$4:$L$11,A65,'07.08'!$M$4:$M$11)+SUMIF('07.08'!$N$4:$N$11,A65,'07.08'!$O$4:$O$11)</f>
        <v>0</v>
      </c>
      <c r="O69" s="15">
        <f>SUMIF('08.08'!$B$4:$B$11,A65,'08.08'!$C$4:$C$11)+SUMIF('08.08'!$D$4:$D$11,A65,'08.08'!$E$4:$E$11)+SUMIF('08.08'!$F$4:$F$11,A65,'08.08'!$G$4:$G$11)+SUMIF('08.08'!$H$4:$H$11,A65,'08.08'!$I$4:$I$11)+SUMIF('08.08'!$J$4:$J$11,A65,'08.08'!$K$4:$K$11)+SUMIF('08.08'!$L$4:$L$11,A65,'08.08'!$M$4:$M$11)+SUMIF('08.08'!$N$4:$N$11,A65,'08.08'!$O$4:$O$11)</f>
        <v>0</v>
      </c>
      <c r="P69" s="15">
        <f>SUMIF('09.08'!$B$4:$B$11,A65,'09.08'!$C$4:$C$11)+SUMIF('09.08'!$D$4:$D$11,A65,'09.08'!$E$4:$E$11)+SUMIF('09.08'!$F$4:$F$11,A65,'09.08'!$G$4:$G$11)+SUMIF('09.08'!$H$4:$H$11,A65,'09.08'!$I$4:$I$11)+SUMIF('09.08'!$J$4:$J$11,A65,'09.08'!$K$4:$K$11)+SUMIF('09.08'!$L$4:$L$11,A65,'09.08'!$M$4:$M$11)+SUMIF('09.08'!$N$4:$N$11,A65,'09.08'!$O$4:$O$11)</f>
        <v>0</v>
      </c>
      <c r="Q69" s="15">
        <f>SUMIF('10.08'!$B$4:$B$11,A65,'10.08'!$C$4:$C$11)+SUMIF('10.08'!$D$4:$D$11,A65,'10.08'!$E$4:$E$11)+SUMIF('10.08'!$F$4:$F$11,A65,'10.08'!$G$4:$G$11)+SUMIF('10.08'!$H$4:$H$11,A65,'10.08'!$I$4:$I$11)+SUMIF('10.08'!$J$4:$J$11,A65,'10.08'!$K$4:$K$11)+SUMIF('10.08'!$L$4:$L$11,A65,'10.08'!$M$4:$M$11)+SUMIF('10.08'!$N$4:$N$11,A65,'10.08'!$O$4:$O$11)</f>
        <v>0</v>
      </c>
      <c r="R69" s="16" t="str">
        <f t="shared" si="14"/>
        <v>#N/A</v>
      </c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</row>
    <row r="70">
      <c r="A70" s="39"/>
      <c r="B70" s="39"/>
      <c r="C70" s="39"/>
      <c r="D70" s="39"/>
      <c r="E70" s="10" t="s">
        <v>8</v>
      </c>
      <c r="F70" s="40"/>
      <c r="G70" s="18" t="str">
        <f t="shared" si="10"/>
        <v>Введите занчения</v>
      </c>
      <c r="H70" s="42" t="str">
        <f t="shared" si="12"/>
        <v>Введите занчения</v>
      </c>
      <c r="I70" s="14">
        <f>SUMIF('02.08'!$B$4:$B$11,A66,'02.08'!$C$4:$C$11)+SUMIF('02.08'!$D$4:$D$11,A66,'02.08'!$E$4:$E$11)+SUMIF('02.08'!$F$4:$F$11,A66,'02.08'!$G$4:$G$11)+SUMIF('02.08'!$H$4:$H$11,A66,'02.08'!$I$4:$I$11)+SUMIF('02.08'!$J$4:$J$11,A66,'02.08'!$K$4:$K$11)+SUMIF('02.08'!$L$4:$L$11,A66,'02.08'!$M$4:$M$11)+SUMIF('02.08'!$N$4:$N$11,A66,'02.08'!$O$4:$O$11)</f>
        <v>0</v>
      </c>
      <c r="J70" s="15">
        <f>SUMIF('03.08'!$B$4:$B$11,A66,'03.08'!$C$4:$C$11)+SUMIF('03.08'!$D$4:$D$11,A66,'03.08'!$E$4:$E$11)+SUMIF('03.08'!$F$4:$F$11,A66,'03.08'!$G$4:$G$11)+SUMIF('03.08'!$H$4:$H$11,A66,'03.08'!$I$4:$I$11)+SUMIF('03.08'!$J$4:$J$11,A66,'03.08'!$K$4:$K$11)+SUMIF('03.08'!$L$4:$L$11,A66,'03.08'!$M$4:$M$11)+SUMIF('03.08'!$N$4:$N$11,A66,'03.08'!$O$4:$O$11)</f>
        <v>0</v>
      </c>
      <c r="K70" s="15">
        <f>SUMIF('04.08'!$B$4:$B$11,A66,'04.08'!$C$4:$C$11)+SUMIF('04.08'!$D$4:$D$11,A66,'04.08'!$E$4:$E$11)+SUMIF('04.08'!$F$4:$F$11,A66,'04.08'!$G$4:$G$11)+SUMIF('04.08'!$H$4:$H$11,A66,'04.08'!$I$4:$I$11)+SUMIF('04.08'!$J$4:$J$11,A66,'04.08'!$K$4:$K$11)+SUMIF('04.08'!$L$4:$L$11,A66,'04.08'!$M$4:$M$11)+SUMIF('04.08'!$N$4:$N$11,A66,'04.08'!$O$4:$O$11)</f>
        <v>0</v>
      </c>
      <c r="L70" s="15">
        <f>SUMIF('05.08'!$B$4:$B$11,A66,'05.08'!$C$4:$C$11)+SUMIF('05.08'!$D$4:$D$11,A66,'05.08'!$E$4:$E$11)+SUMIF('05.08'!$F$4:$F$11,A66,'05.08'!$G$4:$G$11)+SUMIF('05.08'!$H$4:$H$11,A66,'05.08'!$I$4:$I$11)+SUMIF('05.08'!$J$4:$J$11,A66,'05.08'!$K$4:$K$11)+SUMIF('05.08'!$L$4:$L$11,A66,'05.08'!$M$4:$M$11)+SUMIF('05.08'!$N$4:$N$11,A66,'05.08'!$O$4:$O$11)</f>
        <v>0</v>
      </c>
      <c r="M70" s="15">
        <f>SUMIF('06.08'!$B$4:$B$11,A66,'06.08'!$C$4:$C$11)+SUMIF('06.08'!$D$4:$D$11,A66,'06.08'!$E$4:$E$11)+SUMIF('06.08'!$F$4:$F$11,A66,'06.08'!$G$4:$G$11)+SUMIF('06.08'!$H$4:$H$11,A66,'06.08'!$I$4:$I$11)+SUMIF('06.08'!$J$4:$J$11,A66,'06.08'!$K$4:$K$11)+SUMIF('06.08'!$L$4:$L$11,A66,'06.08'!$M$4:$M$11)+SUMIF('06.08'!$N$4:$N$11,A66,'06.08'!$O$4:$O$11)</f>
        <v>0</v>
      </c>
      <c r="N70" s="15">
        <f>SUMIF('07.08'!$B$4:$B$11,A66,'07.08'!$C$4:$C$11)+SUMIF('07.08'!$D$4:$D$11,A66,'07.08'!$E$4:$E$11)+SUMIF('07.08'!$F$4:$F$11,A66,'07.08'!$G$4:$G$11)+SUMIF('07.08'!$H$4:$H$11,A66,'07.08'!$I$4:$I$11)+SUMIF('07.08'!$J$4:$J$11,A66,'07.08'!$K$4:$K$11)+SUMIF('07.08'!$L$4:$L$11,A66,'07.08'!$M$4:$M$11)+SUMIF('07.08'!$N$4:$N$11,A66,'07.08'!$O$4:$O$11)</f>
        <v>0</v>
      </c>
      <c r="O70" s="15">
        <f>SUMIF('08.08'!$B$4:$B$11,A66,'08.08'!$C$4:$C$11)+SUMIF('08.08'!$D$4:$D$11,A66,'08.08'!$E$4:$E$11)+SUMIF('08.08'!$F$4:$F$11,A66,'08.08'!$G$4:$G$11)+SUMIF('08.08'!$H$4:$H$11,A66,'08.08'!$I$4:$I$11)+SUMIF('08.08'!$J$4:$J$11,A66,'08.08'!$K$4:$K$11)+SUMIF('08.08'!$L$4:$L$11,A66,'08.08'!$M$4:$M$11)+SUMIF('08.08'!$N$4:$N$11,A66,'08.08'!$O$4:$O$11)</f>
        <v>0</v>
      </c>
      <c r="P70" s="15">
        <f>SUMIF('09.08'!$B$4:$B$11,A66,'09.08'!$C$4:$C$11)+SUMIF('09.08'!$D$4:$D$11,A66,'09.08'!$E$4:$E$11)+SUMIF('09.08'!$F$4:$F$11,A66,'09.08'!$G$4:$G$11)+SUMIF('09.08'!$H$4:$H$11,A66,'09.08'!$I$4:$I$11)+SUMIF('09.08'!$J$4:$J$11,A66,'09.08'!$K$4:$K$11)+SUMIF('09.08'!$L$4:$L$11,A66,'09.08'!$M$4:$M$11)+SUMIF('09.08'!$N$4:$N$11,A66,'09.08'!$O$4:$O$11)</f>
        <v>0</v>
      </c>
      <c r="Q70" s="15">
        <f>SUMIF('10.08'!$B$4:$B$11,A66,'10.08'!$C$4:$C$11)+SUMIF('10.08'!$D$4:$D$11,A66,'10.08'!$E$4:$E$11)+SUMIF('10.08'!$F$4:$F$11,A66,'10.08'!$G$4:$G$11)+SUMIF('10.08'!$H$4:$H$11,A66,'10.08'!$I$4:$I$11)+SUMIF('10.08'!$J$4:$J$11,A66,'10.08'!$K$4:$K$11)+SUMIF('10.08'!$L$4:$L$11,A66,'10.08'!$M$4:$M$11)+SUMIF('10.08'!$N$4:$N$11,A66,'10.08'!$O$4:$O$11)</f>
        <v>0</v>
      </c>
      <c r="R70" s="16" t="str">
        <f t="shared" si="14"/>
        <v>#N/A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>
      <c r="A71" s="39"/>
      <c r="B71" s="39"/>
      <c r="C71" s="39"/>
      <c r="D71" s="39"/>
      <c r="E71" s="10" t="s">
        <v>8</v>
      </c>
      <c r="F71" s="40"/>
      <c r="G71" s="18" t="str">
        <f t="shared" si="10"/>
        <v>Введите занчения</v>
      </c>
      <c r="H71" s="42" t="str">
        <f t="shared" si="12"/>
        <v>Введите занчения</v>
      </c>
      <c r="I71" s="14">
        <f>SUMIF('02.08'!$B$4:$B$11,A67,'02.08'!$C$4:$C$11)+SUMIF('02.08'!$D$4:$D$11,A67,'02.08'!$E$4:$E$11)+SUMIF('02.08'!$F$4:$F$11,A67,'02.08'!$G$4:$G$11)+SUMIF('02.08'!$H$4:$H$11,A67,'02.08'!$I$4:$I$11)+SUMIF('02.08'!$J$4:$J$11,A67,'02.08'!$K$4:$K$11)+SUMIF('02.08'!$L$4:$L$11,A67,'02.08'!$M$4:$M$11)+SUMIF('02.08'!$N$4:$N$11,A67,'02.08'!$O$4:$O$11)</f>
        <v>0</v>
      </c>
      <c r="J71" s="15">
        <f>SUMIF('03.08'!$B$4:$B$11,A67,'03.08'!$C$4:$C$11)+SUMIF('03.08'!$D$4:$D$11,A67,'03.08'!$E$4:$E$11)+SUMIF('03.08'!$F$4:$F$11,A67,'03.08'!$G$4:$G$11)+SUMIF('03.08'!$H$4:$H$11,A67,'03.08'!$I$4:$I$11)+SUMIF('03.08'!$J$4:$J$11,A67,'03.08'!$K$4:$K$11)+SUMIF('03.08'!$L$4:$L$11,A67,'03.08'!$M$4:$M$11)+SUMIF('03.08'!$N$4:$N$11,A67,'03.08'!$O$4:$O$11)</f>
        <v>0</v>
      </c>
      <c r="K71" s="15">
        <f>SUMIF('04.08'!$B$4:$B$11,A67,'04.08'!$C$4:$C$11)+SUMIF('04.08'!$D$4:$D$11,A67,'04.08'!$E$4:$E$11)+SUMIF('04.08'!$F$4:$F$11,A67,'04.08'!$G$4:$G$11)+SUMIF('04.08'!$H$4:$H$11,A67,'04.08'!$I$4:$I$11)+SUMIF('04.08'!$J$4:$J$11,A67,'04.08'!$K$4:$K$11)+SUMIF('04.08'!$L$4:$L$11,A67,'04.08'!$M$4:$M$11)+SUMIF('04.08'!$N$4:$N$11,A67,'04.08'!$O$4:$O$11)</f>
        <v>0</v>
      </c>
      <c r="L71" s="15">
        <f>SUMIF('05.08'!$B$4:$B$11,A67,'05.08'!$C$4:$C$11)+SUMIF('05.08'!$D$4:$D$11,A67,'05.08'!$E$4:$E$11)+SUMIF('05.08'!$F$4:$F$11,A67,'05.08'!$G$4:$G$11)+SUMIF('05.08'!$H$4:$H$11,A67,'05.08'!$I$4:$I$11)+SUMIF('05.08'!$J$4:$J$11,A67,'05.08'!$K$4:$K$11)+SUMIF('05.08'!$L$4:$L$11,A67,'05.08'!$M$4:$M$11)+SUMIF('05.08'!$N$4:$N$11,A67,'05.08'!$O$4:$O$11)</f>
        <v>0</v>
      </c>
      <c r="M71" s="15">
        <f>SUMIF('06.08'!$B$4:$B$11,A67,'06.08'!$C$4:$C$11)+SUMIF('06.08'!$D$4:$D$11,A67,'06.08'!$E$4:$E$11)+SUMIF('06.08'!$F$4:$F$11,A67,'06.08'!$G$4:$G$11)+SUMIF('06.08'!$H$4:$H$11,A67,'06.08'!$I$4:$I$11)+SUMIF('06.08'!$J$4:$J$11,A67,'06.08'!$K$4:$K$11)+SUMIF('06.08'!$L$4:$L$11,A67,'06.08'!$M$4:$M$11)+SUMIF('06.08'!$N$4:$N$11,A67,'06.08'!$O$4:$O$11)</f>
        <v>0</v>
      </c>
      <c r="N71" s="15">
        <f>SUMIF('07.08'!$B$4:$B$11,A67,'07.08'!$C$4:$C$11)+SUMIF('07.08'!$D$4:$D$11,A67,'07.08'!$E$4:$E$11)+SUMIF('07.08'!$F$4:$F$11,A67,'07.08'!$G$4:$G$11)+SUMIF('07.08'!$H$4:$H$11,A67,'07.08'!$I$4:$I$11)+SUMIF('07.08'!$J$4:$J$11,A67,'07.08'!$K$4:$K$11)+SUMIF('07.08'!$L$4:$L$11,A67,'07.08'!$M$4:$M$11)+SUMIF('07.08'!$N$4:$N$11,A67,'07.08'!$O$4:$O$11)</f>
        <v>0</v>
      </c>
      <c r="O71" s="15">
        <f>SUMIF('08.08'!$B$4:$B$11,A67,'08.08'!$C$4:$C$11)+SUMIF('08.08'!$D$4:$D$11,A67,'08.08'!$E$4:$E$11)+SUMIF('08.08'!$F$4:$F$11,A67,'08.08'!$G$4:$G$11)+SUMIF('08.08'!$H$4:$H$11,A67,'08.08'!$I$4:$I$11)+SUMIF('08.08'!$J$4:$J$11,A67,'08.08'!$K$4:$K$11)+SUMIF('08.08'!$L$4:$L$11,A67,'08.08'!$M$4:$M$11)+SUMIF('08.08'!$N$4:$N$11,A67,'08.08'!$O$4:$O$11)</f>
        <v>0</v>
      </c>
      <c r="P71" s="15">
        <f>SUMIF('09.08'!$B$4:$B$11,A67,'09.08'!$C$4:$C$11)+SUMIF('09.08'!$D$4:$D$11,A67,'09.08'!$E$4:$E$11)+SUMIF('09.08'!$F$4:$F$11,A67,'09.08'!$G$4:$G$11)+SUMIF('09.08'!$H$4:$H$11,A67,'09.08'!$I$4:$I$11)+SUMIF('09.08'!$J$4:$J$11,A67,'09.08'!$K$4:$K$11)+SUMIF('09.08'!$L$4:$L$11,A67,'09.08'!$M$4:$M$11)+SUMIF('09.08'!$N$4:$N$11,A67,'09.08'!$O$4:$O$11)</f>
        <v>0</v>
      </c>
      <c r="Q71" s="15">
        <f>SUMIF('10.08'!$B$4:$B$11,A67,'10.08'!$C$4:$C$11)+SUMIF('10.08'!$D$4:$D$11,A67,'10.08'!$E$4:$E$11)+SUMIF('10.08'!$F$4:$F$11,A67,'10.08'!$G$4:$G$11)+SUMIF('10.08'!$H$4:$H$11,A67,'10.08'!$I$4:$I$11)+SUMIF('10.08'!$J$4:$J$11,A67,'10.08'!$K$4:$K$11)+SUMIF('10.08'!$L$4:$L$11,A67,'10.08'!$M$4:$M$11)+SUMIF('10.08'!$N$4:$N$11,A67,'10.08'!$O$4:$O$11)</f>
        <v>0</v>
      </c>
      <c r="R71" s="16" t="str">
        <f t="shared" si="14"/>
        <v>#N/A</v>
      </c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>
      <c r="A72" s="39"/>
      <c r="B72" s="39"/>
      <c r="C72" s="39"/>
      <c r="D72" s="39"/>
      <c r="E72" s="10" t="s">
        <v>8</v>
      </c>
      <c r="F72" s="40"/>
      <c r="G72" s="18" t="str">
        <f t="shared" si="10"/>
        <v>Введите занчения</v>
      </c>
      <c r="H72" s="42" t="str">
        <f t="shared" si="12"/>
        <v>Введите занчения</v>
      </c>
      <c r="I72" s="14">
        <f>SUMIF('02.08'!$B$4:$B$11,A68,'02.08'!$C$4:$C$11)+SUMIF('02.08'!$D$4:$D$11,A68,'02.08'!$E$4:$E$11)+SUMIF('02.08'!$F$4:$F$11,A68,'02.08'!$G$4:$G$11)+SUMIF('02.08'!$H$4:$H$11,A68,'02.08'!$I$4:$I$11)+SUMIF('02.08'!$J$4:$J$11,A68,'02.08'!$K$4:$K$11)+SUMIF('02.08'!$L$4:$L$11,A68,'02.08'!$M$4:$M$11)+SUMIF('02.08'!$N$4:$N$11,A68,'02.08'!$O$4:$O$11)</f>
        <v>0</v>
      </c>
      <c r="J72" s="15">
        <f>SUMIF('03.08'!$B$4:$B$11,A68,'03.08'!$C$4:$C$11)+SUMIF('03.08'!$D$4:$D$11,A68,'03.08'!$E$4:$E$11)+SUMIF('03.08'!$F$4:$F$11,A68,'03.08'!$G$4:$G$11)+SUMIF('03.08'!$H$4:$H$11,A68,'03.08'!$I$4:$I$11)+SUMIF('03.08'!$J$4:$J$11,A68,'03.08'!$K$4:$K$11)+SUMIF('03.08'!$L$4:$L$11,A68,'03.08'!$M$4:$M$11)+SUMIF('03.08'!$N$4:$N$11,A68,'03.08'!$O$4:$O$11)</f>
        <v>0</v>
      </c>
      <c r="K72" s="15">
        <f>SUMIF('04.08'!$B$4:$B$11,A68,'04.08'!$C$4:$C$11)+SUMIF('04.08'!$D$4:$D$11,A68,'04.08'!$E$4:$E$11)+SUMIF('04.08'!$F$4:$F$11,A68,'04.08'!$G$4:$G$11)+SUMIF('04.08'!$H$4:$H$11,A68,'04.08'!$I$4:$I$11)+SUMIF('04.08'!$J$4:$J$11,A68,'04.08'!$K$4:$K$11)+SUMIF('04.08'!$L$4:$L$11,A68,'04.08'!$M$4:$M$11)+SUMIF('04.08'!$N$4:$N$11,A68,'04.08'!$O$4:$O$11)</f>
        <v>0</v>
      </c>
      <c r="L72" s="15">
        <f>SUMIF('05.08'!$B$4:$B$11,A68,'05.08'!$C$4:$C$11)+SUMIF('05.08'!$D$4:$D$11,A68,'05.08'!$E$4:$E$11)+SUMIF('05.08'!$F$4:$F$11,A68,'05.08'!$G$4:$G$11)+SUMIF('05.08'!$H$4:$H$11,A68,'05.08'!$I$4:$I$11)+SUMIF('05.08'!$J$4:$J$11,A68,'05.08'!$K$4:$K$11)+SUMIF('05.08'!$L$4:$L$11,A68,'05.08'!$M$4:$M$11)+SUMIF('05.08'!$N$4:$N$11,A68,'05.08'!$O$4:$O$11)</f>
        <v>0</v>
      </c>
      <c r="M72" s="15">
        <f>SUMIF('06.08'!$B$4:$B$11,A68,'06.08'!$C$4:$C$11)+SUMIF('06.08'!$D$4:$D$11,A68,'06.08'!$E$4:$E$11)+SUMIF('06.08'!$F$4:$F$11,A68,'06.08'!$G$4:$G$11)+SUMIF('06.08'!$H$4:$H$11,A68,'06.08'!$I$4:$I$11)+SUMIF('06.08'!$J$4:$J$11,A68,'06.08'!$K$4:$K$11)+SUMIF('06.08'!$L$4:$L$11,A68,'06.08'!$M$4:$M$11)+SUMIF('06.08'!$N$4:$N$11,A68,'06.08'!$O$4:$O$11)</f>
        <v>0</v>
      </c>
      <c r="N72" s="15">
        <f>SUMIF('07.08'!$B$4:$B$11,A68,'07.08'!$C$4:$C$11)+SUMIF('07.08'!$D$4:$D$11,A68,'07.08'!$E$4:$E$11)+SUMIF('07.08'!$F$4:$F$11,A68,'07.08'!$G$4:$G$11)+SUMIF('07.08'!$H$4:$H$11,A68,'07.08'!$I$4:$I$11)+SUMIF('07.08'!$J$4:$J$11,A68,'07.08'!$K$4:$K$11)+SUMIF('07.08'!$L$4:$L$11,A68,'07.08'!$M$4:$M$11)+SUMIF('07.08'!$N$4:$N$11,A68,'07.08'!$O$4:$O$11)</f>
        <v>0</v>
      </c>
      <c r="O72" s="15">
        <f>SUMIF('08.08'!$B$4:$B$11,A68,'08.08'!$C$4:$C$11)+SUMIF('08.08'!$D$4:$D$11,A68,'08.08'!$E$4:$E$11)+SUMIF('08.08'!$F$4:$F$11,A68,'08.08'!$G$4:$G$11)+SUMIF('08.08'!$H$4:$H$11,A68,'08.08'!$I$4:$I$11)+SUMIF('08.08'!$J$4:$J$11,A68,'08.08'!$K$4:$K$11)+SUMIF('08.08'!$L$4:$L$11,A68,'08.08'!$M$4:$M$11)+SUMIF('08.08'!$N$4:$N$11,A68,'08.08'!$O$4:$O$11)</f>
        <v>0</v>
      </c>
      <c r="P72" s="15">
        <f>SUMIF('09.08'!$B$4:$B$11,A68,'09.08'!$C$4:$C$11)+SUMIF('09.08'!$D$4:$D$11,A68,'09.08'!$E$4:$E$11)+SUMIF('09.08'!$F$4:$F$11,A68,'09.08'!$G$4:$G$11)+SUMIF('09.08'!$H$4:$H$11,A68,'09.08'!$I$4:$I$11)+SUMIF('09.08'!$J$4:$J$11,A68,'09.08'!$K$4:$K$11)+SUMIF('09.08'!$L$4:$L$11,A68,'09.08'!$M$4:$M$11)+SUMIF('09.08'!$N$4:$N$11,A68,'09.08'!$O$4:$O$11)</f>
        <v>0</v>
      </c>
      <c r="Q72" s="15">
        <f>SUMIF('10.08'!$B$4:$B$11,A68,'10.08'!$C$4:$C$11)+SUMIF('10.08'!$D$4:$D$11,A68,'10.08'!$E$4:$E$11)+SUMIF('10.08'!$F$4:$F$11,A68,'10.08'!$G$4:$G$11)+SUMIF('10.08'!$H$4:$H$11,A68,'10.08'!$I$4:$I$11)+SUMIF('10.08'!$J$4:$J$11,A68,'10.08'!$K$4:$K$11)+SUMIF('10.08'!$L$4:$L$11,A68,'10.08'!$M$4:$M$11)+SUMIF('10.08'!$N$4:$N$11,A68,'10.08'!$O$4:$O$11)</f>
        <v>0</v>
      </c>
      <c r="R72" s="16" t="str">
        <f t="shared" si="14"/>
        <v>#N/A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</row>
    <row r="73">
      <c r="A73" s="39"/>
      <c r="B73" s="39"/>
      <c r="C73" s="39"/>
      <c r="D73" s="39"/>
      <c r="E73" s="10" t="s">
        <v>8</v>
      </c>
      <c r="F73" s="40"/>
      <c r="G73" s="18" t="str">
        <f t="shared" si="10"/>
        <v>Введите занчения</v>
      </c>
      <c r="H73" s="42" t="str">
        <f t="shared" si="12"/>
        <v>Введите занчения</v>
      </c>
      <c r="I73" s="14">
        <f>SUMIF('02.08'!$B$4:$B$11,A69,'02.08'!$C$4:$C$11)+SUMIF('02.08'!$D$4:$D$11,A69,'02.08'!$E$4:$E$11)+SUMIF('02.08'!$F$4:$F$11,A69,'02.08'!$G$4:$G$11)+SUMIF('02.08'!$H$4:$H$11,A69,'02.08'!$I$4:$I$11)+SUMIF('02.08'!$J$4:$J$11,A69,'02.08'!$K$4:$K$11)+SUMIF('02.08'!$L$4:$L$11,A69,'02.08'!$M$4:$M$11)+SUMIF('02.08'!$N$4:$N$11,A69,'02.08'!$O$4:$O$11)</f>
        <v>0</v>
      </c>
      <c r="J73" s="15">
        <f>SUMIF('03.08'!$B$4:$B$11,A69,'03.08'!$C$4:$C$11)+SUMIF('03.08'!$D$4:$D$11,A69,'03.08'!$E$4:$E$11)+SUMIF('03.08'!$F$4:$F$11,A69,'03.08'!$G$4:$G$11)+SUMIF('03.08'!$H$4:$H$11,A69,'03.08'!$I$4:$I$11)+SUMIF('03.08'!$J$4:$J$11,A69,'03.08'!$K$4:$K$11)+SUMIF('03.08'!$L$4:$L$11,A69,'03.08'!$M$4:$M$11)+SUMIF('03.08'!$N$4:$N$11,A69,'03.08'!$O$4:$O$11)</f>
        <v>0</v>
      </c>
      <c r="K73" s="15">
        <f>SUMIF('04.08'!$B$4:$B$11,A69,'04.08'!$C$4:$C$11)+SUMIF('04.08'!$D$4:$D$11,A69,'04.08'!$E$4:$E$11)+SUMIF('04.08'!$F$4:$F$11,A69,'04.08'!$G$4:$G$11)+SUMIF('04.08'!$H$4:$H$11,A69,'04.08'!$I$4:$I$11)+SUMIF('04.08'!$J$4:$J$11,A69,'04.08'!$K$4:$K$11)+SUMIF('04.08'!$L$4:$L$11,A69,'04.08'!$M$4:$M$11)+SUMIF('04.08'!$N$4:$N$11,A69,'04.08'!$O$4:$O$11)</f>
        <v>0</v>
      </c>
      <c r="L73" s="15">
        <f>SUMIF('05.08'!$B$4:$B$11,A69,'05.08'!$C$4:$C$11)+SUMIF('05.08'!$D$4:$D$11,A69,'05.08'!$E$4:$E$11)+SUMIF('05.08'!$F$4:$F$11,A69,'05.08'!$G$4:$G$11)+SUMIF('05.08'!$H$4:$H$11,A69,'05.08'!$I$4:$I$11)+SUMIF('05.08'!$J$4:$J$11,A69,'05.08'!$K$4:$K$11)+SUMIF('05.08'!$L$4:$L$11,A69,'05.08'!$M$4:$M$11)+SUMIF('05.08'!$N$4:$N$11,A69,'05.08'!$O$4:$O$11)</f>
        <v>0</v>
      </c>
      <c r="M73" s="15">
        <f>SUMIF('06.08'!$B$4:$B$11,A69,'06.08'!$C$4:$C$11)+SUMIF('06.08'!$D$4:$D$11,A69,'06.08'!$E$4:$E$11)+SUMIF('06.08'!$F$4:$F$11,A69,'06.08'!$G$4:$G$11)+SUMIF('06.08'!$H$4:$H$11,A69,'06.08'!$I$4:$I$11)+SUMIF('06.08'!$J$4:$J$11,A69,'06.08'!$K$4:$K$11)+SUMIF('06.08'!$L$4:$L$11,A69,'06.08'!$M$4:$M$11)+SUMIF('06.08'!$N$4:$N$11,A69,'06.08'!$O$4:$O$11)</f>
        <v>0</v>
      </c>
      <c r="N73" s="15">
        <f>SUMIF('07.08'!$B$4:$B$11,A69,'07.08'!$C$4:$C$11)+SUMIF('07.08'!$D$4:$D$11,A69,'07.08'!$E$4:$E$11)+SUMIF('07.08'!$F$4:$F$11,A69,'07.08'!$G$4:$G$11)+SUMIF('07.08'!$H$4:$H$11,A69,'07.08'!$I$4:$I$11)+SUMIF('07.08'!$J$4:$J$11,A69,'07.08'!$K$4:$K$11)+SUMIF('07.08'!$L$4:$L$11,A69,'07.08'!$M$4:$M$11)+SUMIF('07.08'!$N$4:$N$11,A69,'07.08'!$O$4:$O$11)</f>
        <v>0</v>
      </c>
      <c r="O73" s="15">
        <f>SUMIF('08.08'!$B$4:$B$11,A69,'08.08'!$C$4:$C$11)+SUMIF('08.08'!$D$4:$D$11,A69,'08.08'!$E$4:$E$11)+SUMIF('08.08'!$F$4:$F$11,A69,'08.08'!$G$4:$G$11)+SUMIF('08.08'!$H$4:$H$11,A69,'08.08'!$I$4:$I$11)+SUMIF('08.08'!$J$4:$J$11,A69,'08.08'!$K$4:$K$11)+SUMIF('08.08'!$L$4:$L$11,A69,'08.08'!$M$4:$M$11)+SUMIF('08.08'!$N$4:$N$11,A69,'08.08'!$O$4:$O$11)</f>
        <v>0</v>
      </c>
      <c r="P73" s="15">
        <f>SUMIF('09.08'!$B$4:$B$11,A69,'09.08'!$C$4:$C$11)+SUMIF('09.08'!$D$4:$D$11,A69,'09.08'!$E$4:$E$11)+SUMIF('09.08'!$F$4:$F$11,A69,'09.08'!$G$4:$G$11)+SUMIF('09.08'!$H$4:$H$11,A69,'09.08'!$I$4:$I$11)+SUMIF('09.08'!$J$4:$J$11,A69,'09.08'!$K$4:$K$11)+SUMIF('09.08'!$L$4:$L$11,A69,'09.08'!$M$4:$M$11)+SUMIF('09.08'!$N$4:$N$11,A69,'09.08'!$O$4:$O$11)</f>
        <v>0</v>
      </c>
      <c r="Q73" s="15">
        <f>SUMIF('10.08'!$B$4:$B$11,A69,'10.08'!$C$4:$C$11)+SUMIF('10.08'!$D$4:$D$11,A69,'10.08'!$E$4:$E$11)+SUMIF('10.08'!$F$4:$F$11,A69,'10.08'!$G$4:$G$11)+SUMIF('10.08'!$H$4:$H$11,A69,'10.08'!$I$4:$I$11)+SUMIF('10.08'!$J$4:$J$11,A69,'10.08'!$K$4:$K$11)+SUMIF('10.08'!$L$4:$L$11,A69,'10.08'!$M$4:$M$11)+SUMIF('10.08'!$N$4:$N$11,A69,'10.08'!$O$4:$O$11)</f>
        <v>0</v>
      </c>
      <c r="R73" s="16" t="str">
        <f t="shared" si="14"/>
        <v>#N/A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</row>
    <row r="74">
      <c r="A74" s="39"/>
      <c r="B74" s="39"/>
      <c r="C74" s="39"/>
      <c r="D74" s="39"/>
      <c r="E74" s="39"/>
      <c r="F74" s="40"/>
      <c r="G74" s="18" t="str">
        <f t="shared" si="10"/>
        <v>Введите занчения</v>
      </c>
      <c r="H74" s="42" t="str">
        <f t="shared" si="12"/>
        <v>Введите занчения</v>
      </c>
      <c r="I74" s="14">
        <f>SUMIF('02.08'!$B$4:$B$11,A70,'02.08'!$C$4:$C$11)+SUMIF('02.08'!$D$4:$D$11,A70,'02.08'!$E$4:$E$11)+SUMIF('02.08'!$F$4:$F$11,A70,'02.08'!$G$4:$G$11)+SUMIF('02.08'!$H$4:$H$11,A70,'02.08'!$I$4:$I$11)+SUMIF('02.08'!$J$4:$J$11,A70,'02.08'!$K$4:$K$11)+SUMIF('02.08'!$L$4:$L$11,A70,'02.08'!$M$4:$M$11)+SUMIF('02.08'!$N$4:$N$11,A70,'02.08'!$O$4:$O$11)</f>
        <v>0</v>
      </c>
      <c r="J74" s="15">
        <f>SUMIF('03.08'!$B$4:$B$11,A70,'03.08'!$C$4:$C$11)+SUMIF('03.08'!$D$4:$D$11,A70,'03.08'!$E$4:$E$11)+SUMIF('03.08'!$F$4:$F$11,A70,'03.08'!$G$4:$G$11)+SUMIF('03.08'!$H$4:$H$11,A70,'03.08'!$I$4:$I$11)+SUMIF('03.08'!$J$4:$J$11,A70,'03.08'!$K$4:$K$11)+SUMIF('03.08'!$L$4:$L$11,A70,'03.08'!$M$4:$M$11)+SUMIF('03.08'!$N$4:$N$11,A70,'03.08'!$O$4:$O$11)</f>
        <v>0</v>
      </c>
      <c r="K74" s="15">
        <f>SUMIF('04.08'!$B$4:$B$11,A70,'04.08'!$C$4:$C$11)+SUMIF('04.08'!$D$4:$D$11,A70,'04.08'!$E$4:$E$11)+SUMIF('04.08'!$F$4:$F$11,A70,'04.08'!$G$4:$G$11)+SUMIF('04.08'!$H$4:$H$11,A70,'04.08'!$I$4:$I$11)+SUMIF('04.08'!$J$4:$J$11,A70,'04.08'!$K$4:$K$11)+SUMIF('04.08'!$L$4:$L$11,A70,'04.08'!$M$4:$M$11)+SUMIF('04.08'!$N$4:$N$11,A70,'04.08'!$O$4:$O$11)</f>
        <v>0</v>
      </c>
      <c r="L74" s="15">
        <f>SUMIF('05.08'!$B$4:$B$11,A70,'05.08'!$C$4:$C$11)+SUMIF('05.08'!$D$4:$D$11,A70,'05.08'!$E$4:$E$11)+SUMIF('05.08'!$F$4:$F$11,A70,'05.08'!$G$4:$G$11)+SUMIF('05.08'!$H$4:$H$11,A70,'05.08'!$I$4:$I$11)+SUMIF('05.08'!$J$4:$J$11,A70,'05.08'!$K$4:$K$11)+SUMIF('05.08'!$L$4:$L$11,A70,'05.08'!$M$4:$M$11)+SUMIF('05.08'!$N$4:$N$11,A70,'05.08'!$O$4:$O$11)</f>
        <v>0</v>
      </c>
      <c r="M74" s="15">
        <f>SUMIF('06.08'!$B$4:$B$11,A70,'06.08'!$C$4:$C$11)+SUMIF('06.08'!$D$4:$D$11,A70,'06.08'!$E$4:$E$11)+SUMIF('06.08'!$F$4:$F$11,A70,'06.08'!$G$4:$G$11)+SUMIF('06.08'!$H$4:$H$11,A70,'06.08'!$I$4:$I$11)+SUMIF('06.08'!$J$4:$J$11,A70,'06.08'!$K$4:$K$11)+SUMIF('06.08'!$L$4:$L$11,A70,'06.08'!$M$4:$M$11)+SUMIF('06.08'!$N$4:$N$11,A70,'06.08'!$O$4:$O$11)</f>
        <v>0</v>
      </c>
      <c r="N74" s="15">
        <f>SUMIF('07.08'!$B$4:$B$11,A70,'07.08'!$C$4:$C$11)+SUMIF('07.08'!$D$4:$D$11,A70,'07.08'!$E$4:$E$11)+SUMIF('07.08'!$F$4:$F$11,A70,'07.08'!$G$4:$G$11)+SUMIF('07.08'!$H$4:$H$11,A70,'07.08'!$I$4:$I$11)+SUMIF('07.08'!$J$4:$J$11,A70,'07.08'!$K$4:$K$11)+SUMIF('07.08'!$L$4:$L$11,A70,'07.08'!$M$4:$M$11)+SUMIF('07.08'!$N$4:$N$11,A70,'07.08'!$O$4:$O$11)</f>
        <v>0</v>
      </c>
      <c r="O74" s="15">
        <f>SUMIF('08.08'!$B$4:$B$11,A70,'08.08'!$C$4:$C$11)+SUMIF('08.08'!$D$4:$D$11,A70,'08.08'!$E$4:$E$11)+SUMIF('08.08'!$F$4:$F$11,A70,'08.08'!$G$4:$G$11)+SUMIF('08.08'!$H$4:$H$11,A70,'08.08'!$I$4:$I$11)+SUMIF('08.08'!$J$4:$J$11,A70,'08.08'!$K$4:$K$11)+SUMIF('08.08'!$L$4:$L$11,A70,'08.08'!$M$4:$M$11)+SUMIF('08.08'!$N$4:$N$11,A70,'08.08'!$O$4:$O$11)</f>
        <v>0</v>
      </c>
      <c r="P74" s="15">
        <f>SUMIF('09.08'!$B$4:$B$11,A70,'09.08'!$C$4:$C$11)+SUMIF('09.08'!$D$4:$D$11,A70,'09.08'!$E$4:$E$11)+SUMIF('09.08'!$F$4:$F$11,A70,'09.08'!$G$4:$G$11)+SUMIF('09.08'!$H$4:$H$11,A70,'09.08'!$I$4:$I$11)+SUMIF('09.08'!$J$4:$J$11,A70,'09.08'!$K$4:$K$11)+SUMIF('09.08'!$L$4:$L$11,A70,'09.08'!$M$4:$M$11)+SUMIF('09.08'!$N$4:$N$11,A70,'09.08'!$O$4:$O$11)</f>
        <v>0</v>
      </c>
      <c r="Q74" s="15">
        <f>SUMIF('10.08'!$B$4:$B$11,A70,'10.08'!$C$4:$C$11)+SUMIF('10.08'!$D$4:$D$11,A70,'10.08'!$E$4:$E$11)+SUMIF('10.08'!$F$4:$F$11,A70,'10.08'!$G$4:$G$11)+SUMIF('10.08'!$H$4:$H$11,A70,'10.08'!$I$4:$I$11)+SUMIF('10.08'!$J$4:$J$11,A70,'10.08'!$K$4:$K$11)+SUMIF('10.08'!$L$4:$L$11,A70,'10.08'!$M$4:$M$11)+SUMIF('10.08'!$N$4:$N$11,A70,'10.08'!$O$4:$O$11)</f>
        <v>0</v>
      </c>
      <c r="R74" s="16" t="str">
        <f t="shared" si="14"/>
        <v>#N/A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>
      <c r="A75" s="39"/>
      <c r="B75" s="39"/>
      <c r="C75" s="39"/>
      <c r="D75" s="39"/>
      <c r="E75" s="39"/>
      <c r="F75" s="40"/>
      <c r="G75" s="18" t="str">
        <f t="shared" si="10"/>
        <v>Введите занчения</v>
      </c>
      <c r="H75" s="42" t="str">
        <f t="shared" si="12"/>
        <v>Введите занчения</v>
      </c>
      <c r="I75" s="14">
        <f>SUMIF('02.08'!$B$4:$B$11,A71,'02.08'!$C$4:$C$11)+SUMIF('02.08'!$D$4:$D$11,A71,'02.08'!$E$4:$E$11)+SUMIF('02.08'!$F$4:$F$11,A71,'02.08'!$G$4:$G$11)+SUMIF('02.08'!$H$4:$H$11,A71,'02.08'!$I$4:$I$11)+SUMIF('02.08'!$J$4:$J$11,A71,'02.08'!$K$4:$K$11)+SUMIF('02.08'!$L$4:$L$11,A71,'02.08'!$M$4:$M$11)+SUMIF('02.08'!$N$4:$N$11,A71,'02.08'!$O$4:$O$11)</f>
        <v>0</v>
      </c>
      <c r="J75" s="15">
        <f>SUMIF('03.08'!$B$4:$B$11,A71,'03.08'!$C$4:$C$11)+SUMIF('03.08'!$D$4:$D$11,A71,'03.08'!$E$4:$E$11)+SUMIF('03.08'!$F$4:$F$11,A71,'03.08'!$G$4:$G$11)+SUMIF('03.08'!$H$4:$H$11,A71,'03.08'!$I$4:$I$11)+SUMIF('03.08'!$J$4:$J$11,A71,'03.08'!$K$4:$K$11)+SUMIF('03.08'!$L$4:$L$11,A71,'03.08'!$M$4:$M$11)+SUMIF('03.08'!$N$4:$N$11,A71,'03.08'!$O$4:$O$11)</f>
        <v>0</v>
      </c>
      <c r="K75" s="15">
        <f>SUMIF('04.08'!$B$4:$B$11,A71,'04.08'!$C$4:$C$11)+SUMIF('04.08'!$D$4:$D$11,A71,'04.08'!$E$4:$E$11)+SUMIF('04.08'!$F$4:$F$11,A71,'04.08'!$G$4:$G$11)+SUMIF('04.08'!$H$4:$H$11,A71,'04.08'!$I$4:$I$11)+SUMIF('04.08'!$J$4:$J$11,A71,'04.08'!$K$4:$K$11)+SUMIF('04.08'!$L$4:$L$11,A71,'04.08'!$M$4:$M$11)+SUMIF('04.08'!$N$4:$N$11,A71,'04.08'!$O$4:$O$11)</f>
        <v>0</v>
      </c>
      <c r="L75" s="15">
        <f>SUMIF('05.08'!$B$4:$B$11,A71,'05.08'!$C$4:$C$11)+SUMIF('05.08'!$D$4:$D$11,A71,'05.08'!$E$4:$E$11)+SUMIF('05.08'!$F$4:$F$11,A71,'05.08'!$G$4:$G$11)+SUMIF('05.08'!$H$4:$H$11,A71,'05.08'!$I$4:$I$11)+SUMIF('05.08'!$J$4:$J$11,A71,'05.08'!$K$4:$K$11)+SUMIF('05.08'!$L$4:$L$11,A71,'05.08'!$M$4:$M$11)+SUMIF('05.08'!$N$4:$N$11,A71,'05.08'!$O$4:$O$11)</f>
        <v>0</v>
      </c>
      <c r="M75" s="15">
        <f>SUMIF('06.08'!$B$4:$B$11,A71,'06.08'!$C$4:$C$11)+SUMIF('06.08'!$D$4:$D$11,A71,'06.08'!$E$4:$E$11)+SUMIF('06.08'!$F$4:$F$11,A71,'06.08'!$G$4:$G$11)+SUMIF('06.08'!$H$4:$H$11,A71,'06.08'!$I$4:$I$11)+SUMIF('06.08'!$J$4:$J$11,A71,'06.08'!$K$4:$K$11)+SUMIF('06.08'!$L$4:$L$11,A71,'06.08'!$M$4:$M$11)+SUMIF('06.08'!$N$4:$N$11,A71,'06.08'!$O$4:$O$11)</f>
        <v>0</v>
      </c>
      <c r="N75" s="15">
        <f>SUMIF('07.08'!$B$4:$B$11,A71,'07.08'!$C$4:$C$11)+SUMIF('07.08'!$D$4:$D$11,A71,'07.08'!$E$4:$E$11)+SUMIF('07.08'!$F$4:$F$11,A71,'07.08'!$G$4:$G$11)+SUMIF('07.08'!$H$4:$H$11,A71,'07.08'!$I$4:$I$11)+SUMIF('07.08'!$J$4:$J$11,A71,'07.08'!$K$4:$K$11)+SUMIF('07.08'!$L$4:$L$11,A71,'07.08'!$M$4:$M$11)+SUMIF('07.08'!$N$4:$N$11,A71,'07.08'!$O$4:$O$11)</f>
        <v>0</v>
      </c>
      <c r="O75" s="15">
        <f>SUMIF('08.08'!$B$4:$B$11,A71,'08.08'!$C$4:$C$11)+SUMIF('08.08'!$D$4:$D$11,A71,'08.08'!$E$4:$E$11)+SUMIF('08.08'!$F$4:$F$11,A71,'08.08'!$G$4:$G$11)+SUMIF('08.08'!$H$4:$H$11,A71,'08.08'!$I$4:$I$11)+SUMIF('08.08'!$J$4:$J$11,A71,'08.08'!$K$4:$K$11)+SUMIF('08.08'!$L$4:$L$11,A71,'08.08'!$M$4:$M$11)+SUMIF('08.08'!$N$4:$N$11,A71,'08.08'!$O$4:$O$11)</f>
        <v>0</v>
      </c>
      <c r="P75" s="15">
        <f>SUMIF('09.08'!$B$4:$B$11,A71,'09.08'!$C$4:$C$11)+SUMIF('09.08'!$D$4:$D$11,A71,'09.08'!$E$4:$E$11)+SUMIF('09.08'!$F$4:$F$11,A71,'09.08'!$G$4:$G$11)+SUMIF('09.08'!$H$4:$H$11,A71,'09.08'!$I$4:$I$11)+SUMIF('09.08'!$J$4:$J$11,A71,'09.08'!$K$4:$K$11)+SUMIF('09.08'!$L$4:$L$11,A71,'09.08'!$M$4:$M$11)+SUMIF('09.08'!$N$4:$N$11,A71,'09.08'!$O$4:$O$11)</f>
        <v>0</v>
      </c>
      <c r="Q75" s="15">
        <f>SUMIF('10.08'!$B$4:$B$11,A71,'10.08'!$C$4:$C$11)+SUMIF('10.08'!$D$4:$D$11,A71,'10.08'!$E$4:$E$11)+SUMIF('10.08'!$F$4:$F$11,A71,'10.08'!$G$4:$G$11)+SUMIF('10.08'!$H$4:$H$11,A71,'10.08'!$I$4:$I$11)+SUMIF('10.08'!$J$4:$J$11,A71,'10.08'!$K$4:$K$11)+SUMIF('10.08'!$L$4:$L$11,A71,'10.08'!$M$4:$M$11)+SUMIF('10.08'!$N$4:$N$11,A71,'10.08'!$O$4:$O$11)</f>
        <v>0</v>
      </c>
      <c r="R75" s="16" t="str">
        <f t="shared" si="14"/>
        <v>#N/A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>
      <c r="A76" s="39"/>
      <c r="B76" s="39"/>
      <c r="C76" s="39"/>
      <c r="D76" s="39"/>
      <c r="E76" s="39"/>
      <c r="F76" s="40"/>
      <c r="G76" s="18" t="str">
        <f t="shared" si="10"/>
        <v>Введите занчения</v>
      </c>
      <c r="H76" s="42" t="str">
        <f t="shared" si="12"/>
        <v>Введите занчения</v>
      </c>
      <c r="I76" s="14">
        <f>SUMIF('02.08'!$B$4:$B$11,A72,'02.08'!$C$4:$C$11)+SUMIF('02.08'!$D$4:$D$11,A72,'02.08'!$E$4:$E$11)+SUMIF('02.08'!$F$4:$F$11,A72,'02.08'!$G$4:$G$11)+SUMIF('02.08'!$H$4:$H$11,A72,'02.08'!$I$4:$I$11)+SUMIF('02.08'!$J$4:$J$11,A72,'02.08'!$K$4:$K$11)+SUMIF('02.08'!$L$4:$L$11,A72,'02.08'!$M$4:$M$11)+SUMIF('02.08'!$N$4:$N$11,A72,'02.08'!$O$4:$O$11)</f>
        <v>0</v>
      </c>
      <c r="J76" s="15">
        <f>SUMIF('03.08'!$B$4:$B$11,A72,'03.08'!$C$4:$C$11)+SUMIF('03.08'!$D$4:$D$11,A72,'03.08'!$E$4:$E$11)+SUMIF('03.08'!$F$4:$F$11,A72,'03.08'!$G$4:$G$11)+SUMIF('03.08'!$H$4:$H$11,A72,'03.08'!$I$4:$I$11)+SUMIF('03.08'!$J$4:$J$11,A72,'03.08'!$K$4:$K$11)+SUMIF('03.08'!$L$4:$L$11,A72,'03.08'!$M$4:$M$11)+SUMIF('03.08'!$N$4:$N$11,A72,'03.08'!$O$4:$O$11)</f>
        <v>0</v>
      </c>
      <c r="K76" s="15">
        <f>SUMIF('04.08'!$B$4:$B$11,A72,'04.08'!$C$4:$C$11)+SUMIF('04.08'!$D$4:$D$11,A72,'04.08'!$E$4:$E$11)+SUMIF('04.08'!$F$4:$F$11,A72,'04.08'!$G$4:$G$11)+SUMIF('04.08'!$H$4:$H$11,A72,'04.08'!$I$4:$I$11)+SUMIF('04.08'!$J$4:$J$11,A72,'04.08'!$K$4:$K$11)+SUMIF('04.08'!$L$4:$L$11,A72,'04.08'!$M$4:$M$11)+SUMIF('04.08'!$N$4:$N$11,A72,'04.08'!$O$4:$O$11)</f>
        <v>0</v>
      </c>
      <c r="L76" s="15">
        <f>SUMIF('05.08'!$B$4:$B$11,A72,'05.08'!$C$4:$C$11)+SUMIF('05.08'!$D$4:$D$11,A72,'05.08'!$E$4:$E$11)+SUMIF('05.08'!$F$4:$F$11,A72,'05.08'!$G$4:$G$11)+SUMIF('05.08'!$H$4:$H$11,A72,'05.08'!$I$4:$I$11)+SUMIF('05.08'!$J$4:$J$11,A72,'05.08'!$K$4:$K$11)+SUMIF('05.08'!$L$4:$L$11,A72,'05.08'!$M$4:$M$11)+SUMIF('05.08'!$N$4:$N$11,A72,'05.08'!$O$4:$O$11)</f>
        <v>0</v>
      </c>
      <c r="M76" s="15">
        <f>SUMIF('06.08'!$B$4:$B$11,A72,'06.08'!$C$4:$C$11)+SUMIF('06.08'!$D$4:$D$11,A72,'06.08'!$E$4:$E$11)+SUMIF('06.08'!$F$4:$F$11,A72,'06.08'!$G$4:$G$11)+SUMIF('06.08'!$H$4:$H$11,A72,'06.08'!$I$4:$I$11)+SUMIF('06.08'!$J$4:$J$11,A72,'06.08'!$K$4:$K$11)+SUMIF('06.08'!$L$4:$L$11,A72,'06.08'!$M$4:$M$11)+SUMIF('06.08'!$N$4:$N$11,A72,'06.08'!$O$4:$O$11)</f>
        <v>0</v>
      </c>
      <c r="N76" s="15">
        <f>SUMIF('07.08'!$B$4:$B$11,A72,'07.08'!$C$4:$C$11)+SUMIF('07.08'!$D$4:$D$11,A72,'07.08'!$E$4:$E$11)+SUMIF('07.08'!$F$4:$F$11,A72,'07.08'!$G$4:$G$11)+SUMIF('07.08'!$H$4:$H$11,A72,'07.08'!$I$4:$I$11)+SUMIF('07.08'!$J$4:$J$11,A72,'07.08'!$K$4:$K$11)+SUMIF('07.08'!$L$4:$L$11,A72,'07.08'!$M$4:$M$11)+SUMIF('07.08'!$N$4:$N$11,A72,'07.08'!$O$4:$O$11)</f>
        <v>0</v>
      </c>
      <c r="O76" s="15">
        <f>SUMIF('08.08'!$B$4:$B$11,A72,'08.08'!$C$4:$C$11)+SUMIF('08.08'!$D$4:$D$11,A72,'08.08'!$E$4:$E$11)+SUMIF('08.08'!$F$4:$F$11,A72,'08.08'!$G$4:$G$11)+SUMIF('08.08'!$H$4:$H$11,A72,'08.08'!$I$4:$I$11)+SUMIF('08.08'!$J$4:$J$11,A72,'08.08'!$K$4:$K$11)+SUMIF('08.08'!$L$4:$L$11,A72,'08.08'!$M$4:$M$11)+SUMIF('08.08'!$N$4:$N$11,A72,'08.08'!$O$4:$O$11)</f>
        <v>0</v>
      </c>
      <c r="P76" s="15">
        <f>SUMIF('09.08'!$B$4:$B$11,A72,'09.08'!$C$4:$C$11)+SUMIF('09.08'!$D$4:$D$11,A72,'09.08'!$E$4:$E$11)+SUMIF('09.08'!$F$4:$F$11,A72,'09.08'!$G$4:$G$11)+SUMIF('09.08'!$H$4:$H$11,A72,'09.08'!$I$4:$I$11)+SUMIF('09.08'!$J$4:$J$11,A72,'09.08'!$K$4:$K$11)+SUMIF('09.08'!$L$4:$L$11,A72,'09.08'!$M$4:$M$11)+SUMIF('09.08'!$N$4:$N$11,A72,'09.08'!$O$4:$O$11)</f>
        <v>0</v>
      </c>
      <c r="Q76" s="15">
        <f>SUMIF('10.08'!$B$4:$B$11,A72,'10.08'!$C$4:$C$11)+SUMIF('10.08'!$D$4:$D$11,A72,'10.08'!$E$4:$E$11)+SUMIF('10.08'!$F$4:$F$11,A72,'10.08'!$G$4:$G$11)+SUMIF('10.08'!$H$4:$H$11,A72,'10.08'!$I$4:$I$11)+SUMIF('10.08'!$J$4:$J$11,A72,'10.08'!$K$4:$K$11)+SUMIF('10.08'!$L$4:$L$11,A72,'10.08'!$M$4:$M$11)+SUMIF('10.08'!$N$4:$N$11,A72,'10.08'!$O$4:$O$11)</f>
        <v>0</v>
      </c>
      <c r="R76" s="16" t="str">
        <f t="shared" si="14"/>
        <v>#N/A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>
      <c r="A77" s="39"/>
      <c r="B77" s="39"/>
      <c r="C77" s="39"/>
      <c r="D77" s="39"/>
      <c r="E77" s="39"/>
      <c r="F77" s="40"/>
      <c r="G77" s="18" t="str">
        <f t="shared" si="10"/>
        <v>Введите занчения</v>
      </c>
      <c r="H77" s="42" t="str">
        <f t="shared" si="12"/>
        <v>Введите занчения</v>
      </c>
      <c r="I77" s="14">
        <f>SUMIF('02.08'!$B$4:$B$11,A73,'02.08'!$C$4:$C$11)+SUMIF('02.08'!$D$4:$D$11,A73,'02.08'!$E$4:$E$11)+SUMIF('02.08'!$F$4:$F$11,A73,'02.08'!$G$4:$G$11)+SUMIF('02.08'!$H$4:$H$11,A73,'02.08'!$I$4:$I$11)+SUMIF('02.08'!$J$4:$J$11,A73,'02.08'!$K$4:$K$11)+SUMIF('02.08'!$L$4:$L$11,A73,'02.08'!$M$4:$M$11)+SUMIF('02.08'!$N$4:$N$11,A73,'02.08'!$O$4:$O$11)</f>
        <v>0</v>
      </c>
      <c r="J77" s="15">
        <f>SUMIF('03.08'!$B$4:$B$11,A73,'03.08'!$C$4:$C$11)+SUMIF('03.08'!$D$4:$D$11,A73,'03.08'!$E$4:$E$11)+SUMIF('03.08'!$F$4:$F$11,A73,'03.08'!$G$4:$G$11)+SUMIF('03.08'!$H$4:$H$11,A73,'03.08'!$I$4:$I$11)+SUMIF('03.08'!$J$4:$J$11,A73,'03.08'!$K$4:$K$11)+SUMIF('03.08'!$L$4:$L$11,A73,'03.08'!$M$4:$M$11)+SUMIF('03.08'!$N$4:$N$11,A73,'03.08'!$O$4:$O$11)</f>
        <v>0</v>
      </c>
      <c r="K77" s="15">
        <f>SUMIF('04.08'!$B$4:$B$11,A73,'04.08'!$C$4:$C$11)+SUMIF('04.08'!$D$4:$D$11,A73,'04.08'!$E$4:$E$11)+SUMIF('04.08'!$F$4:$F$11,A73,'04.08'!$G$4:$G$11)+SUMIF('04.08'!$H$4:$H$11,A73,'04.08'!$I$4:$I$11)+SUMIF('04.08'!$J$4:$J$11,A73,'04.08'!$K$4:$K$11)+SUMIF('04.08'!$L$4:$L$11,A73,'04.08'!$M$4:$M$11)+SUMIF('04.08'!$N$4:$N$11,A73,'04.08'!$O$4:$O$11)</f>
        <v>0</v>
      </c>
      <c r="L77" s="15">
        <f>SUMIF('05.08'!$B$4:$B$11,A73,'05.08'!$C$4:$C$11)+SUMIF('05.08'!$D$4:$D$11,A73,'05.08'!$E$4:$E$11)+SUMIF('05.08'!$F$4:$F$11,A73,'05.08'!$G$4:$G$11)+SUMIF('05.08'!$H$4:$H$11,A73,'05.08'!$I$4:$I$11)+SUMIF('05.08'!$J$4:$J$11,A73,'05.08'!$K$4:$K$11)+SUMIF('05.08'!$L$4:$L$11,A73,'05.08'!$M$4:$M$11)+SUMIF('05.08'!$N$4:$N$11,A73,'05.08'!$O$4:$O$11)</f>
        <v>0</v>
      </c>
      <c r="M77" s="15">
        <f>SUMIF('06.08'!$B$4:$B$11,A73,'06.08'!$C$4:$C$11)+SUMIF('06.08'!$D$4:$D$11,A73,'06.08'!$E$4:$E$11)+SUMIF('06.08'!$F$4:$F$11,A73,'06.08'!$G$4:$G$11)+SUMIF('06.08'!$H$4:$H$11,A73,'06.08'!$I$4:$I$11)+SUMIF('06.08'!$J$4:$J$11,A73,'06.08'!$K$4:$K$11)+SUMIF('06.08'!$L$4:$L$11,A73,'06.08'!$M$4:$M$11)+SUMIF('06.08'!$N$4:$N$11,A73,'06.08'!$O$4:$O$11)</f>
        <v>0</v>
      </c>
      <c r="N77" s="15">
        <f>SUMIF('07.08'!$B$4:$B$11,A73,'07.08'!$C$4:$C$11)+SUMIF('07.08'!$D$4:$D$11,A73,'07.08'!$E$4:$E$11)+SUMIF('07.08'!$F$4:$F$11,A73,'07.08'!$G$4:$G$11)+SUMIF('07.08'!$H$4:$H$11,A73,'07.08'!$I$4:$I$11)+SUMIF('07.08'!$J$4:$J$11,A73,'07.08'!$K$4:$K$11)+SUMIF('07.08'!$L$4:$L$11,A73,'07.08'!$M$4:$M$11)+SUMIF('07.08'!$N$4:$N$11,A73,'07.08'!$O$4:$O$11)</f>
        <v>0</v>
      </c>
      <c r="O77" s="15">
        <f>SUMIF('08.08'!$B$4:$B$11,A73,'08.08'!$C$4:$C$11)+SUMIF('08.08'!$D$4:$D$11,A73,'08.08'!$E$4:$E$11)+SUMIF('08.08'!$F$4:$F$11,A73,'08.08'!$G$4:$G$11)+SUMIF('08.08'!$H$4:$H$11,A73,'08.08'!$I$4:$I$11)+SUMIF('08.08'!$J$4:$J$11,A73,'08.08'!$K$4:$K$11)+SUMIF('08.08'!$L$4:$L$11,A73,'08.08'!$M$4:$M$11)+SUMIF('08.08'!$N$4:$N$11,A73,'08.08'!$O$4:$O$11)</f>
        <v>0</v>
      </c>
      <c r="P77" s="15">
        <f>SUMIF('09.08'!$B$4:$B$11,A73,'09.08'!$C$4:$C$11)+SUMIF('09.08'!$D$4:$D$11,A73,'09.08'!$E$4:$E$11)+SUMIF('09.08'!$F$4:$F$11,A73,'09.08'!$G$4:$G$11)+SUMIF('09.08'!$H$4:$H$11,A73,'09.08'!$I$4:$I$11)+SUMIF('09.08'!$J$4:$J$11,A73,'09.08'!$K$4:$K$11)+SUMIF('09.08'!$L$4:$L$11,A73,'09.08'!$M$4:$M$11)+SUMIF('09.08'!$N$4:$N$11,A73,'09.08'!$O$4:$O$11)</f>
        <v>0</v>
      </c>
      <c r="Q77" s="15">
        <f>SUMIF('10.08'!$B$4:$B$11,A73,'10.08'!$C$4:$C$11)+SUMIF('10.08'!$D$4:$D$11,A73,'10.08'!$E$4:$E$11)+SUMIF('10.08'!$F$4:$F$11,A73,'10.08'!$G$4:$G$11)+SUMIF('10.08'!$H$4:$H$11,A73,'10.08'!$I$4:$I$11)+SUMIF('10.08'!$J$4:$J$11,A73,'10.08'!$K$4:$K$11)+SUMIF('10.08'!$L$4:$L$11,A73,'10.08'!$M$4:$M$11)+SUMIF('10.08'!$N$4:$N$11,A73,'10.08'!$O$4:$O$11)</f>
        <v>0</v>
      </c>
      <c r="R77" s="16" t="str">
        <f t="shared" si="14"/>
        <v>#N/A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>
      <c r="A78" s="39"/>
      <c r="B78" s="39"/>
      <c r="C78" s="39"/>
      <c r="D78" s="39"/>
      <c r="E78" s="39"/>
      <c r="F78" s="40"/>
      <c r="G78" s="18" t="str">
        <f t="shared" si="10"/>
        <v>Введите занчения</v>
      </c>
      <c r="H78" s="42" t="str">
        <f t="shared" si="12"/>
        <v>Введите занчения</v>
      </c>
      <c r="I78" s="14">
        <f>SUMIF('02.08'!$B$4:$B$11,A74,'02.08'!$C$4:$C$11)+SUMIF('02.08'!$D$4:$D$11,A74,'02.08'!$E$4:$E$11)+SUMIF('02.08'!$F$4:$F$11,A74,'02.08'!$G$4:$G$11)+SUMIF('02.08'!$H$4:$H$11,A74,'02.08'!$I$4:$I$11)+SUMIF('02.08'!$J$4:$J$11,A74,'02.08'!$K$4:$K$11)+SUMIF('02.08'!$L$4:$L$11,A74,'02.08'!$M$4:$M$11)+SUMIF('02.08'!$N$4:$N$11,A74,'02.08'!$O$4:$O$11)</f>
        <v>0</v>
      </c>
      <c r="J78" s="15">
        <f>SUMIF('03.08'!$B$4:$B$11,A74,'03.08'!$C$4:$C$11)+SUMIF('03.08'!$D$4:$D$11,A74,'03.08'!$E$4:$E$11)+SUMIF('03.08'!$F$4:$F$11,A74,'03.08'!$G$4:$G$11)+SUMIF('03.08'!$H$4:$H$11,A74,'03.08'!$I$4:$I$11)+SUMIF('03.08'!$J$4:$J$11,A74,'03.08'!$K$4:$K$11)+SUMIF('03.08'!$L$4:$L$11,A74,'03.08'!$M$4:$M$11)+SUMIF('03.08'!$N$4:$N$11,A74,'03.08'!$O$4:$O$11)</f>
        <v>0</v>
      </c>
      <c r="K78" s="15">
        <f>SUMIF('04.08'!$B$4:$B$11,A74,'04.08'!$C$4:$C$11)+SUMIF('04.08'!$D$4:$D$11,A74,'04.08'!$E$4:$E$11)+SUMIF('04.08'!$F$4:$F$11,A74,'04.08'!$G$4:$G$11)+SUMIF('04.08'!$H$4:$H$11,A74,'04.08'!$I$4:$I$11)+SUMIF('04.08'!$J$4:$J$11,A74,'04.08'!$K$4:$K$11)+SUMIF('04.08'!$L$4:$L$11,A74,'04.08'!$M$4:$M$11)+SUMIF('04.08'!$N$4:$N$11,A74,'04.08'!$O$4:$O$11)</f>
        <v>0</v>
      </c>
      <c r="L78" s="15">
        <f>SUMIF('05.08'!$B$4:$B$11,A74,'05.08'!$C$4:$C$11)+SUMIF('05.08'!$D$4:$D$11,A74,'05.08'!$E$4:$E$11)+SUMIF('05.08'!$F$4:$F$11,A74,'05.08'!$G$4:$G$11)+SUMIF('05.08'!$H$4:$H$11,A74,'05.08'!$I$4:$I$11)+SUMIF('05.08'!$J$4:$J$11,A74,'05.08'!$K$4:$K$11)+SUMIF('05.08'!$L$4:$L$11,A74,'05.08'!$M$4:$M$11)+SUMIF('05.08'!$N$4:$N$11,A74,'05.08'!$O$4:$O$11)</f>
        <v>0</v>
      </c>
      <c r="M78" s="15">
        <f>SUMIF('06.08'!$B$4:$B$11,A74,'06.08'!$C$4:$C$11)+SUMIF('06.08'!$D$4:$D$11,A74,'06.08'!$E$4:$E$11)+SUMIF('06.08'!$F$4:$F$11,A74,'06.08'!$G$4:$G$11)+SUMIF('06.08'!$H$4:$H$11,A74,'06.08'!$I$4:$I$11)+SUMIF('06.08'!$J$4:$J$11,A74,'06.08'!$K$4:$K$11)+SUMIF('06.08'!$L$4:$L$11,A74,'06.08'!$M$4:$M$11)+SUMIF('06.08'!$N$4:$N$11,A74,'06.08'!$O$4:$O$11)</f>
        <v>0</v>
      </c>
      <c r="N78" s="15">
        <f>SUMIF('07.08'!$B$4:$B$11,A74,'07.08'!$C$4:$C$11)+SUMIF('07.08'!$D$4:$D$11,A74,'07.08'!$E$4:$E$11)+SUMIF('07.08'!$F$4:$F$11,A74,'07.08'!$G$4:$G$11)+SUMIF('07.08'!$H$4:$H$11,A74,'07.08'!$I$4:$I$11)+SUMIF('07.08'!$J$4:$J$11,A74,'07.08'!$K$4:$K$11)+SUMIF('07.08'!$L$4:$L$11,A74,'07.08'!$M$4:$M$11)+SUMIF('07.08'!$N$4:$N$11,A74,'07.08'!$O$4:$O$11)</f>
        <v>0</v>
      </c>
      <c r="O78" s="15">
        <f>SUMIF('08.08'!$B$4:$B$11,A74,'08.08'!$C$4:$C$11)+SUMIF('08.08'!$D$4:$D$11,A74,'08.08'!$E$4:$E$11)+SUMIF('08.08'!$F$4:$F$11,A74,'08.08'!$G$4:$G$11)+SUMIF('08.08'!$H$4:$H$11,A74,'08.08'!$I$4:$I$11)+SUMIF('08.08'!$J$4:$J$11,A74,'08.08'!$K$4:$K$11)+SUMIF('08.08'!$L$4:$L$11,A74,'08.08'!$M$4:$M$11)+SUMIF('08.08'!$N$4:$N$11,A74,'08.08'!$O$4:$O$11)</f>
        <v>0</v>
      </c>
      <c r="P78" s="15">
        <f>SUMIF('09.08'!$B$4:$B$11,A74,'09.08'!$C$4:$C$11)+SUMIF('09.08'!$D$4:$D$11,A74,'09.08'!$E$4:$E$11)+SUMIF('09.08'!$F$4:$F$11,A74,'09.08'!$G$4:$G$11)+SUMIF('09.08'!$H$4:$H$11,A74,'09.08'!$I$4:$I$11)+SUMIF('09.08'!$J$4:$J$11,A74,'09.08'!$K$4:$K$11)+SUMIF('09.08'!$L$4:$L$11,A74,'09.08'!$M$4:$M$11)+SUMIF('09.08'!$N$4:$N$11,A74,'09.08'!$O$4:$O$11)</f>
        <v>0</v>
      </c>
      <c r="Q78" s="15">
        <f>SUMIF('10.08'!$B$4:$B$11,A74,'10.08'!$C$4:$C$11)+SUMIF('10.08'!$D$4:$D$11,A74,'10.08'!$E$4:$E$11)+SUMIF('10.08'!$F$4:$F$11,A74,'10.08'!$G$4:$G$11)+SUMIF('10.08'!$H$4:$H$11,A74,'10.08'!$I$4:$I$11)+SUMIF('10.08'!$J$4:$J$11,A74,'10.08'!$K$4:$K$11)+SUMIF('10.08'!$L$4:$L$11,A74,'10.08'!$M$4:$M$11)+SUMIF('10.08'!$N$4:$N$11,A74,'10.08'!$O$4:$O$11)</f>
        <v>0</v>
      </c>
      <c r="R78" s="16" t="str">
        <f t="shared" si="14"/>
        <v>#N/A</v>
      </c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>
      <c r="A79" s="39"/>
      <c r="B79" s="39"/>
      <c r="C79" s="39"/>
      <c r="D79" s="39"/>
      <c r="E79" s="39"/>
      <c r="F79" s="40"/>
      <c r="G79" s="18" t="str">
        <f t="shared" si="10"/>
        <v>Введите занчения</v>
      </c>
      <c r="H79" s="42" t="str">
        <f t="shared" si="12"/>
        <v>Введите занчения</v>
      </c>
      <c r="I79" s="14">
        <f>SUMIF('02.08'!$B$4:$B$11,A75,'02.08'!$C$4:$C$11)+SUMIF('02.08'!$D$4:$D$11,A75,'02.08'!$E$4:$E$11)+SUMIF('02.08'!$F$4:$F$11,A75,'02.08'!$G$4:$G$11)+SUMIF('02.08'!$H$4:$H$11,A75,'02.08'!$I$4:$I$11)+SUMIF('02.08'!$J$4:$J$11,A75,'02.08'!$K$4:$K$11)+SUMIF('02.08'!$L$4:$L$11,A75,'02.08'!$M$4:$M$11)+SUMIF('02.08'!$N$4:$N$11,A75,'02.08'!$O$4:$O$11)</f>
        <v>0</v>
      </c>
      <c r="J79" s="15">
        <f>SUMIF('03.08'!$B$4:$B$11,A75,'03.08'!$C$4:$C$11)+SUMIF('03.08'!$D$4:$D$11,A75,'03.08'!$E$4:$E$11)+SUMIF('03.08'!$F$4:$F$11,A75,'03.08'!$G$4:$G$11)+SUMIF('03.08'!$H$4:$H$11,A75,'03.08'!$I$4:$I$11)+SUMIF('03.08'!$J$4:$J$11,A75,'03.08'!$K$4:$K$11)+SUMIF('03.08'!$L$4:$L$11,A75,'03.08'!$M$4:$M$11)+SUMIF('03.08'!$N$4:$N$11,A75,'03.08'!$O$4:$O$11)</f>
        <v>0</v>
      </c>
      <c r="K79" s="15">
        <f>SUMIF('04.08'!$B$4:$B$11,A75,'04.08'!$C$4:$C$11)+SUMIF('04.08'!$D$4:$D$11,A75,'04.08'!$E$4:$E$11)+SUMIF('04.08'!$F$4:$F$11,A75,'04.08'!$G$4:$G$11)+SUMIF('04.08'!$H$4:$H$11,A75,'04.08'!$I$4:$I$11)+SUMIF('04.08'!$J$4:$J$11,A75,'04.08'!$K$4:$K$11)+SUMIF('04.08'!$L$4:$L$11,A75,'04.08'!$M$4:$M$11)+SUMIF('04.08'!$N$4:$N$11,A75,'04.08'!$O$4:$O$11)</f>
        <v>0</v>
      </c>
      <c r="L79" s="15">
        <f>SUMIF('05.08'!$B$4:$B$11,A75,'05.08'!$C$4:$C$11)+SUMIF('05.08'!$D$4:$D$11,A75,'05.08'!$E$4:$E$11)+SUMIF('05.08'!$F$4:$F$11,A75,'05.08'!$G$4:$G$11)+SUMIF('05.08'!$H$4:$H$11,A75,'05.08'!$I$4:$I$11)+SUMIF('05.08'!$J$4:$J$11,A75,'05.08'!$K$4:$K$11)+SUMIF('05.08'!$L$4:$L$11,A75,'05.08'!$M$4:$M$11)+SUMIF('05.08'!$N$4:$N$11,A75,'05.08'!$O$4:$O$11)</f>
        <v>0</v>
      </c>
      <c r="M79" s="15">
        <f>SUMIF('06.08'!$B$4:$B$11,A75,'06.08'!$C$4:$C$11)+SUMIF('06.08'!$D$4:$D$11,A75,'06.08'!$E$4:$E$11)+SUMIF('06.08'!$F$4:$F$11,A75,'06.08'!$G$4:$G$11)+SUMIF('06.08'!$H$4:$H$11,A75,'06.08'!$I$4:$I$11)+SUMIF('06.08'!$J$4:$J$11,A75,'06.08'!$K$4:$K$11)+SUMIF('06.08'!$L$4:$L$11,A75,'06.08'!$M$4:$M$11)+SUMIF('06.08'!$N$4:$N$11,A75,'06.08'!$O$4:$O$11)</f>
        <v>0</v>
      </c>
      <c r="N79" s="15">
        <f>SUMIF('07.08'!$B$4:$B$11,A75,'07.08'!$C$4:$C$11)+SUMIF('07.08'!$D$4:$D$11,A75,'07.08'!$E$4:$E$11)+SUMIF('07.08'!$F$4:$F$11,A75,'07.08'!$G$4:$G$11)+SUMIF('07.08'!$H$4:$H$11,A75,'07.08'!$I$4:$I$11)+SUMIF('07.08'!$J$4:$J$11,A75,'07.08'!$K$4:$K$11)+SUMIF('07.08'!$L$4:$L$11,A75,'07.08'!$M$4:$M$11)+SUMIF('07.08'!$N$4:$N$11,A75,'07.08'!$O$4:$O$11)</f>
        <v>0</v>
      </c>
      <c r="O79" s="15">
        <f>SUMIF('08.08'!$B$4:$B$11,A75,'08.08'!$C$4:$C$11)+SUMIF('08.08'!$D$4:$D$11,A75,'08.08'!$E$4:$E$11)+SUMIF('08.08'!$F$4:$F$11,A75,'08.08'!$G$4:$G$11)+SUMIF('08.08'!$H$4:$H$11,A75,'08.08'!$I$4:$I$11)+SUMIF('08.08'!$J$4:$J$11,A75,'08.08'!$K$4:$K$11)+SUMIF('08.08'!$L$4:$L$11,A75,'08.08'!$M$4:$M$11)+SUMIF('08.08'!$N$4:$N$11,A75,'08.08'!$O$4:$O$11)</f>
        <v>0</v>
      </c>
      <c r="P79" s="15">
        <f>SUMIF('09.08'!$B$4:$B$11,A75,'09.08'!$C$4:$C$11)+SUMIF('09.08'!$D$4:$D$11,A75,'09.08'!$E$4:$E$11)+SUMIF('09.08'!$F$4:$F$11,A75,'09.08'!$G$4:$G$11)+SUMIF('09.08'!$H$4:$H$11,A75,'09.08'!$I$4:$I$11)+SUMIF('09.08'!$J$4:$J$11,A75,'09.08'!$K$4:$K$11)+SUMIF('09.08'!$L$4:$L$11,A75,'09.08'!$M$4:$M$11)+SUMIF('09.08'!$N$4:$N$11,A75,'09.08'!$O$4:$O$11)</f>
        <v>0</v>
      </c>
      <c r="Q79" s="15">
        <f>SUMIF('10.08'!$B$4:$B$11,A75,'10.08'!$C$4:$C$11)+SUMIF('10.08'!$D$4:$D$11,A75,'10.08'!$E$4:$E$11)+SUMIF('10.08'!$F$4:$F$11,A75,'10.08'!$G$4:$G$11)+SUMIF('10.08'!$H$4:$H$11,A75,'10.08'!$I$4:$I$11)+SUMIF('10.08'!$J$4:$J$11,A75,'10.08'!$K$4:$K$11)+SUMIF('10.08'!$L$4:$L$11,A75,'10.08'!$M$4:$M$11)+SUMIF('10.08'!$N$4:$N$11,A75,'10.08'!$O$4:$O$11)</f>
        <v>0</v>
      </c>
      <c r="R79" s="16" t="str">
        <f t="shared" si="14"/>
        <v>#N/A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</row>
    <row r="80">
      <c r="A80" s="39"/>
      <c r="B80" s="39"/>
      <c r="C80" s="39"/>
      <c r="D80" s="39"/>
      <c r="E80" s="39"/>
      <c r="F80" s="40"/>
      <c r="G80" s="18" t="str">
        <f t="shared" si="10"/>
        <v>Введите занчения</v>
      </c>
      <c r="H80" s="42" t="str">
        <f t="shared" si="12"/>
        <v>Введите занчения</v>
      </c>
      <c r="I80" s="14">
        <f>SUMIF('02.08'!$B$4:$B$11,A76,'02.08'!$C$4:$C$11)+SUMIF('02.08'!$D$4:$D$11,A76,'02.08'!$E$4:$E$11)+SUMIF('02.08'!$F$4:$F$11,A76,'02.08'!$G$4:$G$11)+SUMIF('02.08'!$H$4:$H$11,A76,'02.08'!$I$4:$I$11)+SUMIF('02.08'!$J$4:$J$11,A76,'02.08'!$K$4:$K$11)+SUMIF('02.08'!$L$4:$L$11,A76,'02.08'!$M$4:$M$11)+SUMIF('02.08'!$N$4:$N$11,A76,'02.08'!$O$4:$O$11)</f>
        <v>0</v>
      </c>
      <c r="J80" s="15">
        <f>SUMIF('03.08'!$B$4:$B$11,A76,'03.08'!$C$4:$C$11)+SUMIF('03.08'!$D$4:$D$11,A76,'03.08'!$E$4:$E$11)+SUMIF('03.08'!$F$4:$F$11,A76,'03.08'!$G$4:$G$11)+SUMIF('03.08'!$H$4:$H$11,A76,'03.08'!$I$4:$I$11)+SUMIF('03.08'!$J$4:$J$11,A76,'03.08'!$K$4:$K$11)+SUMIF('03.08'!$L$4:$L$11,A76,'03.08'!$M$4:$M$11)+SUMIF('03.08'!$N$4:$N$11,A76,'03.08'!$O$4:$O$11)</f>
        <v>0</v>
      </c>
      <c r="K80" s="15">
        <f>SUMIF('04.08'!$B$4:$B$11,A76,'04.08'!$C$4:$C$11)+SUMIF('04.08'!$D$4:$D$11,A76,'04.08'!$E$4:$E$11)+SUMIF('04.08'!$F$4:$F$11,A76,'04.08'!$G$4:$G$11)+SUMIF('04.08'!$H$4:$H$11,A76,'04.08'!$I$4:$I$11)+SUMIF('04.08'!$J$4:$J$11,A76,'04.08'!$K$4:$K$11)+SUMIF('04.08'!$L$4:$L$11,A76,'04.08'!$M$4:$M$11)+SUMIF('04.08'!$N$4:$N$11,A76,'04.08'!$O$4:$O$11)</f>
        <v>0</v>
      </c>
      <c r="L80" s="15">
        <f>SUMIF('05.08'!$B$4:$B$11,A76,'05.08'!$C$4:$C$11)+SUMIF('05.08'!$D$4:$D$11,A76,'05.08'!$E$4:$E$11)+SUMIF('05.08'!$F$4:$F$11,A76,'05.08'!$G$4:$G$11)+SUMIF('05.08'!$H$4:$H$11,A76,'05.08'!$I$4:$I$11)+SUMIF('05.08'!$J$4:$J$11,A76,'05.08'!$K$4:$K$11)+SUMIF('05.08'!$L$4:$L$11,A76,'05.08'!$M$4:$M$11)+SUMIF('05.08'!$N$4:$N$11,A76,'05.08'!$O$4:$O$11)</f>
        <v>0</v>
      </c>
      <c r="M80" s="15">
        <f>SUMIF('06.08'!$B$4:$B$11,A76,'06.08'!$C$4:$C$11)+SUMIF('06.08'!$D$4:$D$11,A76,'06.08'!$E$4:$E$11)+SUMIF('06.08'!$F$4:$F$11,A76,'06.08'!$G$4:$G$11)+SUMIF('06.08'!$H$4:$H$11,A76,'06.08'!$I$4:$I$11)+SUMIF('06.08'!$J$4:$J$11,A76,'06.08'!$K$4:$K$11)+SUMIF('06.08'!$L$4:$L$11,A76,'06.08'!$M$4:$M$11)+SUMIF('06.08'!$N$4:$N$11,A76,'06.08'!$O$4:$O$11)</f>
        <v>0</v>
      </c>
      <c r="N80" s="15">
        <f>SUMIF('07.08'!$B$4:$B$11,A76,'07.08'!$C$4:$C$11)+SUMIF('07.08'!$D$4:$D$11,A76,'07.08'!$E$4:$E$11)+SUMIF('07.08'!$F$4:$F$11,A76,'07.08'!$G$4:$G$11)+SUMIF('07.08'!$H$4:$H$11,A76,'07.08'!$I$4:$I$11)+SUMIF('07.08'!$J$4:$J$11,A76,'07.08'!$K$4:$K$11)+SUMIF('07.08'!$L$4:$L$11,A76,'07.08'!$M$4:$M$11)+SUMIF('07.08'!$N$4:$N$11,A76,'07.08'!$O$4:$O$11)</f>
        <v>0</v>
      </c>
      <c r="O80" s="15">
        <f>SUMIF('08.08'!$B$4:$B$11,A76,'08.08'!$C$4:$C$11)+SUMIF('08.08'!$D$4:$D$11,A76,'08.08'!$E$4:$E$11)+SUMIF('08.08'!$F$4:$F$11,A76,'08.08'!$G$4:$G$11)+SUMIF('08.08'!$H$4:$H$11,A76,'08.08'!$I$4:$I$11)+SUMIF('08.08'!$J$4:$J$11,A76,'08.08'!$K$4:$K$11)+SUMIF('08.08'!$L$4:$L$11,A76,'08.08'!$M$4:$M$11)+SUMIF('08.08'!$N$4:$N$11,A76,'08.08'!$O$4:$O$11)</f>
        <v>0</v>
      </c>
      <c r="P80" s="15">
        <f>SUMIF('09.08'!$B$4:$B$11,A76,'09.08'!$C$4:$C$11)+SUMIF('09.08'!$D$4:$D$11,A76,'09.08'!$E$4:$E$11)+SUMIF('09.08'!$F$4:$F$11,A76,'09.08'!$G$4:$G$11)+SUMIF('09.08'!$H$4:$H$11,A76,'09.08'!$I$4:$I$11)+SUMIF('09.08'!$J$4:$J$11,A76,'09.08'!$K$4:$K$11)+SUMIF('09.08'!$L$4:$L$11,A76,'09.08'!$M$4:$M$11)+SUMIF('09.08'!$N$4:$N$11,A76,'09.08'!$O$4:$O$11)</f>
        <v>0</v>
      </c>
      <c r="Q80" s="15">
        <f>SUMIF('10.08'!$B$4:$B$11,A76,'10.08'!$C$4:$C$11)+SUMIF('10.08'!$D$4:$D$11,A76,'10.08'!$E$4:$E$11)+SUMIF('10.08'!$F$4:$F$11,A76,'10.08'!$G$4:$G$11)+SUMIF('10.08'!$H$4:$H$11,A76,'10.08'!$I$4:$I$11)+SUMIF('10.08'!$J$4:$J$11,A76,'10.08'!$K$4:$K$11)+SUMIF('10.08'!$L$4:$L$11,A76,'10.08'!$M$4:$M$11)+SUMIF('10.08'!$N$4:$N$11,A76,'10.08'!$O$4:$O$11)</f>
        <v>0</v>
      </c>
      <c r="R80" s="16" t="str">
        <f t="shared" si="14"/>
        <v>#N/A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</row>
    <row r="81">
      <c r="A81" s="39"/>
      <c r="B81" s="39"/>
      <c r="C81" s="39"/>
      <c r="D81" s="39"/>
      <c r="E81" s="39"/>
      <c r="F81" s="40"/>
      <c r="G81" s="18" t="str">
        <f t="shared" si="10"/>
        <v>Введите занчения</v>
      </c>
      <c r="H81" s="42" t="str">
        <f t="shared" si="12"/>
        <v>Введите занчения</v>
      </c>
      <c r="I81" s="14">
        <f>SUMIF('02.08'!$B$4:$B$11,A77,'02.08'!$C$4:$C$11)+SUMIF('02.08'!$D$4:$D$11,A77,'02.08'!$E$4:$E$11)+SUMIF('02.08'!$F$4:$F$11,A77,'02.08'!$G$4:$G$11)+SUMIF('02.08'!$H$4:$H$11,A77,'02.08'!$I$4:$I$11)+SUMIF('02.08'!$J$4:$J$11,A77,'02.08'!$K$4:$K$11)+SUMIF('02.08'!$L$4:$L$11,A77,'02.08'!$M$4:$M$11)+SUMIF('02.08'!$N$4:$N$11,A77,'02.08'!$O$4:$O$11)</f>
        <v>0</v>
      </c>
      <c r="J81" s="15">
        <f>SUMIF('03.08'!$B$4:$B$11,A77,'03.08'!$C$4:$C$11)+SUMIF('03.08'!$D$4:$D$11,A77,'03.08'!$E$4:$E$11)+SUMIF('03.08'!$F$4:$F$11,A77,'03.08'!$G$4:$G$11)+SUMIF('03.08'!$H$4:$H$11,A77,'03.08'!$I$4:$I$11)+SUMIF('03.08'!$J$4:$J$11,A77,'03.08'!$K$4:$K$11)+SUMIF('03.08'!$L$4:$L$11,A77,'03.08'!$M$4:$M$11)+SUMIF('03.08'!$N$4:$N$11,A77,'03.08'!$O$4:$O$11)</f>
        <v>0</v>
      </c>
      <c r="K81" s="15">
        <f>SUMIF('04.08'!$B$4:$B$11,A77,'04.08'!$C$4:$C$11)+SUMIF('04.08'!$D$4:$D$11,A77,'04.08'!$E$4:$E$11)+SUMIF('04.08'!$F$4:$F$11,A77,'04.08'!$G$4:$G$11)+SUMIF('04.08'!$H$4:$H$11,A77,'04.08'!$I$4:$I$11)+SUMIF('04.08'!$J$4:$J$11,A77,'04.08'!$K$4:$K$11)+SUMIF('04.08'!$L$4:$L$11,A77,'04.08'!$M$4:$M$11)+SUMIF('04.08'!$N$4:$N$11,A77,'04.08'!$O$4:$O$11)</f>
        <v>0</v>
      </c>
      <c r="L81" s="15">
        <f>SUMIF('05.08'!$B$4:$B$11,A77,'05.08'!$C$4:$C$11)+SUMIF('05.08'!$D$4:$D$11,A77,'05.08'!$E$4:$E$11)+SUMIF('05.08'!$F$4:$F$11,A77,'05.08'!$G$4:$G$11)+SUMIF('05.08'!$H$4:$H$11,A77,'05.08'!$I$4:$I$11)+SUMIF('05.08'!$J$4:$J$11,A77,'05.08'!$K$4:$K$11)+SUMIF('05.08'!$L$4:$L$11,A77,'05.08'!$M$4:$M$11)+SUMIF('05.08'!$N$4:$N$11,A77,'05.08'!$O$4:$O$11)</f>
        <v>0</v>
      </c>
      <c r="M81" s="15">
        <f>SUMIF('06.08'!$B$4:$B$11,A77,'06.08'!$C$4:$C$11)+SUMIF('06.08'!$D$4:$D$11,A77,'06.08'!$E$4:$E$11)+SUMIF('06.08'!$F$4:$F$11,A77,'06.08'!$G$4:$G$11)+SUMIF('06.08'!$H$4:$H$11,A77,'06.08'!$I$4:$I$11)+SUMIF('06.08'!$J$4:$J$11,A77,'06.08'!$K$4:$K$11)+SUMIF('06.08'!$L$4:$L$11,A77,'06.08'!$M$4:$M$11)+SUMIF('06.08'!$N$4:$N$11,A77,'06.08'!$O$4:$O$11)</f>
        <v>0</v>
      </c>
      <c r="N81" s="15">
        <f>SUMIF('07.08'!$B$4:$B$11,A77,'07.08'!$C$4:$C$11)+SUMIF('07.08'!$D$4:$D$11,A77,'07.08'!$E$4:$E$11)+SUMIF('07.08'!$F$4:$F$11,A77,'07.08'!$G$4:$G$11)+SUMIF('07.08'!$H$4:$H$11,A77,'07.08'!$I$4:$I$11)+SUMIF('07.08'!$J$4:$J$11,A77,'07.08'!$K$4:$K$11)+SUMIF('07.08'!$L$4:$L$11,A77,'07.08'!$M$4:$M$11)+SUMIF('07.08'!$N$4:$N$11,A77,'07.08'!$O$4:$O$11)</f>
        <v>0</v>
      </c>
      <c r="O81" s="15">
        <f>SUMIF('08.08'!$B$4:$B$11,A77,'08.08'!$C$4:$C$11)+SUMIF('08.08'!$D$4:$D$11,A77,'08.08'!$E$4:$E$11)+SUMIF('08.08'!$F$4:$F$11,A77,'08.08'!$G$4:$G$11)+SUMIF('08.08'!$H$4:$H$11,A77,'08.08'!$I$4:$I$11)+SUMIF('08.08'!$J$4:$J$11,A77,'08.08'!$K$4:$K$11)+SUMIF('08.08'!$L$4:$L$11,A77,'08.08'!$M$4:$M$11)+SUMIF('08.08'!$N$4:$N$11,A77,'08.08'!$O$4:$O$11)</f>
        <v>0</v>
      </c>
      <c r="P81" s="15">
        <f>SUMIF('09.08'!$B$4:$B$11,A77,'09.08'!$C$4:$C$11)+SUMIF('09.08'!$D$4:$D$11,A77,'09.08'!$E$4:$E$11)+SUMIF('09.08'!$F$4:$F$11,A77,'09.08'!$G$4:$G$11)+SUMIF('09.08'!$H$4:$H$11,A77,'09.08'!$I$4:$I$11)+SUMIF('09.08'!$J$4:$J$11,A77,'09.08'!$K$4:$K$11)+SUMIF('09.08'!$L$4:$L$11,A77,'09.08'!$M$4:$M$11)+SUMIF('09.08'!$N$4:$N$11,A77,'09.08'!$O$4:$O$11)</f>
        <v>0</v>
      </c>
      <c r="Q81" s="15">
        <f>SUMIF('10.08'!$B$4:$B$11,A77,'10.08'!$C$4:$C$11)+SUMIF('10.08'!$D$4:$D$11,A77,'10.08'!$E$4:$E$11)+SUMIF('10.08'!$F$4:$F$11,A77,'10.08'!$G$4:$G$11)+SUMIF('10.08'!$H$4:$H$11,A77,'10.08'!$I$4:$I$11)+SUMIF('10.08'!$J$4:$J$11,A77,'10.08'!$K$4:$K$11)+SUMIF('10.08'!$L$4:$L$11,A77,'10.08'!$M$4:$M$11)+SUMIF('10.08'!$N$4:$N$11,A77,'10.08'!$O$4:$O$11)</f>
        <v>0</v>
      </c>
      <c r="R81" s="16" t="str">
        <f t="shared" si="14"/>
        <v>#N/A</v>
      </c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</row>
    <row r="82">
      <c r="A82" s="39" t="str">
        <f>'список продуктов'!A102</f>
        <v/>
      </c>
      <c r="B82" s="39" t="str">
        <f>'список продуктов'!B102</f>
        <v/>
      </c>
      <c r="C82" s="39" t="str">
        <f>'список продуктов'!C102</f>
        <v/>
      </c>
      <c r="D82" s="39" t="str">
        <f>'список продуктов'!D102</f>
        <v/>
      </c>
      <c r="E82" s="39" t="str">
        <f>'список продуктов'!E102</f>
        <v/>
      </c>
      <c r="F82" s="17" t="str">
        <f t="shared" ref="F82:F183" si="15">SUM(I86:R86)</f>
        <v>#N/A</v>
      </c>
      <c r="G82" s="18" t="str">
        <f t="shared" si="10"/>
        <v>Введите занчения</v>
      </c>
      <c r="H82" s="42" t="str">
        <f t="shared" si="12"/>
        <v>Введите занчения</v>
      </c>
      <c r="I82" s="14">
        <f>SUMIF('02.08'!$B$4:$B$11,A78,'02.08'!$C$4:$C$11)+SUMIF('02.08'!$D$4:$D$11,A78,'02.08'!$E$4:$E$11)+SUMIF('02.08'!$F$4:$F$11,A78,'02.08'!$G$4:$G$11)+SUMIF('02.08'!$H$4:$H$11,A78,'02.08'!$I$4:$I$11)+SUMIF('02.08'!$J$4:$J$11,A78,'02.08'!$K$4:$K$11)+SUMIF('02.08'!$L$4:$L$11,A78,'02.08'!$M$4:$M$11)+SUMIF('02.08'!$N$4:$N$11,A78,'02.08'!$O$4:$O$11)</f>
        <v>0</v>
      </c>
      <c r="J82" s="15">
        <f>SUMIF('03.08'!$B$4:$B$11,A78,'03.08'!$C$4:$C$11)+SUMIF('03.08'!$D$4:$D$11,A78,'03.08'!$E$4:$E$11)+SUMIF('03.08'!$F$4:$F$11,A78,'03.08'!$G$4:$G$11)+SUMIF('03.08'!$H$4:$H$11,A78,'03.08'!$I$4:$I$11)+SUMIF('03.08'!$J$4:$J$11,A78,'03.08'!$K$4:$K$11)+SUMIF('03.08'!$L$4:$L$11,A78,'03.08'!$M$4:$M$11)+SUMIF('03.08'!$N$4:$N$11,A78,'03.08'!$O$4:$O$11)</f>
        <v>0</v>
      </c>
      <c r="K82" s="15">
        <f>SUMIF('04.08'!$B$4:$B$11,A78,'04.08'!$C$4:$C$11)+SUMIF('04.08'!$D$4:$D$11,A78,'04.08'!$E$4:$E$11)+SUMIF('04.08'!$F$4:$F$11,A78,'04.08'!$G$4:$G$11)+SUMIF('04.08'!$H$4:$H$11,A78,'04.08'!$I$4:$I$11)+SUMIF('04.08'!$J$4:$J$11,A78,'04.08'!$K$4:$K$11)+SUMIF('04.08'!$L$4:$L$11,A78,'04.08'!$M$4:$M$11)+SUMIF('04.08'!$N$4:$N$11,A78,'04.08'!$O$4:$O$11)</f>
        <v>0</v>
      </c>
      <c r="L82" s="15">
        <f>SUMIF('05.08'!$B$4:$B$11,A78,'05.08'!$C$4:$C$11)+SUMIF('05.08'!$D$4:$D$11,A78,'05.08'!$E$4:$E$11)+SUMIF('05.08'!$F$4:$F$11,A78,'05.08'!$G$4:$G$11)+SUMIF('05.08'!$H$4:$H$11,A78,'05.08'!$I$4:$I$11)+SUMIF('05.08'!$J$4:$J$11,A78,'05.08'!$K$4:$K$11)+SUMIF('05.08'!$L$4:$L$11,A78,'05.08'!$M$4:$M$11)+SUMIF('05.08'!$N$4:$N$11,A78,'05.08'!$O$4:$O$11)</f>
        <v>0</v>
      </c>
      <c r="M82" s="15">
        <f>SUMIF('06.08'!$B$4:$B$11,A78,'06.08'!$C$4:$C$11)+SUMIF('06.08'!$D$4:$D$11,A78,'06.08'!$E$4:$E$11)+SUMIF('06.08'!$F$4:$F$11,A78,'06.08'!$G$4:$G$11)+SUMIF('06.08'!$H$4:$H$11,A78,'06.08'!$I$4:$I$11)+SUMIF('06.08'!$J$4:$J$11,A78,'06.08'!$K$4:$K$11)+SUMIF('06.08'!$L$4:$L$11,A78,'06.08'!$M$4:$M$11)+SUMIF('06.08'!$N$4:$N$11,A78,'06.08'!$O$4:$O$11)</f>
        <v>0</v>
      </c>
      <c r="N82" s="15">
        <f>SUMIF('07.08'!$B$4:$B$11,A78,'07.08'!$C$4:$C$11)+SUMIF('07.08'!$D$4:$D$11,A78,'07.08'!$E$4:$E$11)+SUMIF('07.08'!$F$4:$F$11,A78,'07.08'!$G$4:$G$11)+SUMIF('07.08'!$H$4:$H$11,A78,'07.08'!$I$4:$I$11)+SUMIF('07.08'!$J$4:$J$11,A78,'07.08'!$K$4:$K$11)+SUMIF('07.08'!$L$4:$L$11,A78,'07.08'!$M$4:$M$11)+SUMIF('07.08'!$N$4:$N$11,A78,'07.08'!$O$4:$O$11)</f>
        <v>0</v>
      </c>
      <c r="O82" s="15">
        <f>SUMIF('08.08'!$B$4:$B$11,A78,'08.08'!$C$4:$C$11)+SUMIF('08.08'!$D$4:$D$11,A78,'08.08'!$E$4:$E$11)+SUMIF('08.08'!$F$4:$F$11,A78,'08.08'!$G$4:$G$11)+SUMIF('08.08'!$H$4:$H$11,A78,'08.08'!$I$4:$I$11)+SUMIF('08.08'!$J$4:$J$11,A78,'08.08'!$K$4:$K$11)+SUMIF('08.08'!$L$4:$L$11,A78,'08.08'!$M$4:$M$11)+SUMIF('08.08'!$N$4:$N$11,A78,'08.08'!$O$4:$O$11)</f>
        <v>0</v>
      </c>
      <c r="P82" s="15">
        <f>SUMIF('09.08'!$B$4:$B$11,A78,'09.08'!$C$4:$C$11)+SUMIF('09.08'!$D$4:$D$11,A78,'09.08'!$E$4:$E$11)+SUMIF('09.08'!$F$4:$F$11,A78,'09.08'!$G$4:$G$11)+SUMIF('09.08'!$H$4:$H$11,A78,'09.08'!$I$4:$I$11)+SUMIF('09.08'!$J$4:$J$11,A78,'09.08'!$K$4:$K$11)+SUMIF('09.08'!$L$4:$L$11,A78,'09.08'!$M$4:$M$11)+SUMIF('09.08'!$N$4:$N$11,A78,'09.08'!$O$4:$O$11)</f>
        <v>0</v>
      </c>
      <c r="Q82" s="15">
        <f>SUMIF('10.08'!$B$4:$B$11,A78,'10.08'!$C$4:$C$11)+SUMIF('10.08'!$D$4:$D$11,A78,'10.08'!$E$4:$E$11)+SUMIF('10.08'!$F$4:$F$11,A78,'10.08'!$G$4:$G$11)+SUMIF('10.08'!$H$4:$H$11,A78,'10.08'!$I$4:$I$11)+SUMIF('10.08'!$J$4:$J$11,A78,'10.08'!$K$4:$K$11)+SUMIF('10.08'!$L$4:$L$11,A78,'10.08'!$M$4:$M$11)+SUMIF('10.08'!$N$4:$N$11,A78,'10.08'!$O$4:$O$11)</f>
        <v>0</v>
      </c>
      <c r="R82" s="16" t="str">
        <f t="shared" si="14"/>
        <v>#N/A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</row>
    <row r="83">
      <c r="A83" s="39" t="str">
        <f>'список продуктов'!A103</f>
        <v/>
      </c>
      <c r="B83" s="39" t="str">
        <f>'список продуктов'!B103</f>
        <v/>
      </c>
      <c r="C83" s="39" t="str">
        <f>'список продуктов'!C103</f>
        <v/>
      </c>
      <c r="D83" s="39" t="str">
        <f>'список продуктов'!D103</f>
        <v/>
      </c>
      <c r="E83" s="39" t="str">
        <f>'список продуктов'!E103</f>
        <v/>
      </c>
      <c r="F83" s="17" t="str">
        <f t="shared" si="15"/>
        <v>#N/A</v>
      </c>
      <c r="G83" s="18" t="str">
        <f t="shared" si="10"/>
        <v>Введите занчения</v>
      </c>
      <c r="H83" s="42" t="str">
        <f t="shared" si="12"/>
        <v>Введите занчения</v>
      </c>
      <c r="I83" s="14">
        <f>SUMIF('02.08'!$B$4:$B$11,A79,'02.08'!$C$4:$C$11)+SUMIF('02.08'!$D$4:$D$11,A79,'02.08'!$E$4:$E$11)+SUMIF('02.08'!$F$4:$F$11,A79,'02.08'!$G$4:$G$11)+SUMIF('02.08'!$H$4:$H$11,A79,'02.08'!$I$4:$I$11)+SUMIF('02.08'!$J$4:$J$11,A79,'02.08'!$K$4:$K$11)+SUMIF('02.08'!$L$4:$L$11,A79,'02.08'!$M$4:$M$11)+SUMIF('02.08'!$N$4:$N$11,A79,'02.08'!$O$4:$O$11)</f>
        <v>0</v>
      </c>
      <c r="J83" s="15">
        <f>SUMIF('03.08'!$B$4:$B$11,A79,'03.08'!$C$4:$C$11)+SUMIF('03.08'!$D$4:$D$11,A79,'03.08'!$E$4:$E$11)+SUMIF('03.08'!$F$4:$F$11,A79,'03.08'!$G$4:$G$11)+SUMIF('03.08'!$H$4:$H$11,A79,'03.08'!$I$4:$I$11)+SUMIF('03.08'!$J$4:$J$11,A79,'03.08'!$K$4:$K$11)+SUMIF('03.08'!$L$4:$L$11,A79,'03.08'!$M$4:$M$11)+SUMIF('03.08'!$N$4:$N$11,A79,'03.08'!$O$4:$O$11)</f>
        <v>0</v>
      </c>
      <c r="K83" s="15">
        <f>SUMIF('04.08'!$B$4:$B$11,A79,'04.08'!$C$4:$C$11)+SUMIF('04.08'!$D$4:$D$11,A79,'04.08'!$E$4:$E$11)+SUMIF('04.08'!$F$4:$F$11,A79,'04.08'!$G$4:$G$11)+SUMIF('04.08'!$H$4:$H$11,A79,'04.08'!$I$4:$I$11)+SUMIF('04.08'!$J$4:$J$11,A79,'04.08'!$K$4:$K$11)+SUMIF('04.08'!$L$4:$L$11,A79,'04.08'!$M$4:$M$11)+SUMIF('04.08'!$N$4:$N$11,A79,'04.08'!$O$4:$O$11)</f>
        <v>0</v>
      </c>
      <c r="L83" s="15">
        <f>SUMIF('05.08'!$B$4:$B$11,A79,'05.08'!$C$4:$C$11)+SUMIF('05.08'!$D$4:$D$11,A79,'05.08'!$E$4:$E$11)+SUMIF('05.08'!$F$4:$F$11,A79,'05.08'!$G$4:$G$11)+SUMIF('05.08'!$H$4:$H$11,A79,'05.08'!$I$4:$I$11)+SUMIF('05.08'!$J$4:$J$11,A79,'05.08'!$K$4:$K$11)+SUMIF('05.08'!$L$4:$L$11,A79,'05.08'!$M$4:$M$11)+SUMIF('05.08'!$N$4:$N$11,A79,'05.08'!$O$4:$O$11)</f>
        <v>0</v>
      </c>
      <c r="M83" s="15">
        <f>SUMIF('06.08'!$B$4:$B$11,A79,'06.08'!$C$4:$C$11)+SUMIF('06.08'!$D$4:$D$11,A79,'06.08'!$E$4:$E$11)+SUMIF('06.08'!$F$4:$F$11,A79,'06.08'!$G$4:$G$11)+SUMIF('06.08'!$H$4:$H$11,A79,'06.08'!$I$4:$I$11)+SUMIF('06.08'!$J$4:$J$11,A79,'06.08'!$K$4:$K$11)+SUMIF('06.08'!$L$4:$L$11,A79,'06.08'!$M$4:$M$11)+SUMIF('06.08'!$N$4:$N$11,A79,'06.08'!$O$4:$O$11)</f>
        <v>0</v>
      </c>
      <c r="N83" s="15">
        <f>SUMIF('07.08'!$B$4:$B$11,A79,'07.08'!$C$4:$C$11)+SUMIF('07.08'!$D$4:$D$11,A79,'07.08'!$E$4:$E$11)+SUMIF('07.08'!$F$4:$F$11,A79,'07.08'!$G$4:$G$11)+SUMIF('07.08'!$H$4:$H$11,A79,'07.08'!$I$4:$I$11)+SUMIF('07.08'!$J$4:$J$11,A79,'07.08'!$K$4:$K$11)+SUMIF('07.08'!$L$4:$L$11,A79,'07.08'!$M$4:$M$11)+SUMIF('07.08'!$N$4:$N$11,A79,'07.08'!$O$4:$O$11)</f>
        <v>0</v>
      </c>
      <c r="O83" s="15">
        <f>SUMIF('08.08'!$B$4:$B$11,A79,'08.08'!$C$4:$C$11)+SUMIF('08.08'!$D$4:$D$11,A79,'08.08'!$E$4:$E$11)+SUMIF('08.08'!$F$4:$F$11,A79,'08.08'!$G$4:$G$11)+SUMIF('08.08'!$H$4:$H$11,A79,'08.08'!$I$4:$I$11)+SUMIF('08.08'!$J$4:$J$11,A79,'08.08'!$K$4:$K$11)+SUMIF('08.08'!$L$4:$L$11,A79,'08.08'!$M$4:$M$11)+SUMIF('08.08'!$N$4:$N$11,A79,'08.08'!$O$4:$O$11)</f>
        <v>0</v>
      </c>
      <c r="P83" s="15">
        <f>SUMIF('09.08'!$B$4:$B$11,A79,'09.08'!$C$4:$C$11)+SUMIF('09.08'!$D$4:$D$11,A79,'09.08'!$E$4:$E$11)+SUMIF('09.08'!$F$4:$F$11,A79,'09.08'!$G$4:$G$11)+SUMIF('09.08'!$H$4:$H$11,A79,'09.08'!$I$4:$I$11)+SUMIF('09.08'!$J$4:$J$11,A79,'09.08'!$K$4:$K$11)+SUMIF('09.08'!$L$4:$L$11,A79,'09.08'!$M$4:$M$11)+SUMIF('09.08'!$N$4:$N$11,A79,'09.08'!$O$4:$O$11)</f>
        <v>0</v>
      </c>
      <c r="Q83" s="15">
        <f>SUMIF('10.08'!$B$4:$B$11,A79,'10.08'!$C$4:$C$11)+SUMIF('10.08'!$D$4:$D$11,A79,'10.08'!$E$4:$E$11)+SUMIF('10.08'!$F$4:$F$11,A79,'10.08'!$G$4:$G$11)+SUMIF('10.08'!$H$4:$H$11,A79,'10.08'!$I$4:$I$11)+SUMIF('10.08'!$J$4:$J$11,A79,'10.08'!$K$4:$K$11)+SUMIF('10.08'!$L$4:$L$11,A79,'10.08'!$M$4:$M$11)+SUMIF('10.08'!$N$4:$N$11,A79,'10.08'!$O$4:$O$11)</f>
        <v>0</v>
      </c>
      <c r="R83" s="16" t="str">
        <f t="shared" si="14"/>
        <v>#N/A</v>
      </c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</row>
    <row r="84">
      <c r="A84" s="39" t="str">
        <f>'список продуктов'!A104</f>
        <v/>
      </c>
      <c r="B84" s="39" t="str">
        <f>'список продуктов'!B104</f>
        <v/>
      </c>
      <c r="C84" s="39" t="str">
        <f>'список продуктов'!C104</f>
        <v/>
      </c>
      <c r="D84" s="39" t="str">
        <f>'список продуктов'!D104</f>
        <v/>
      </c>
      <c r="E84" s="39" t="str">
        <f>'список продуктов'!E104</f>
        <v/>
      </c>
      <c r="F84" s="17" t="str">
        <f t="shared" si="15"/>
        <v>#N/A</v>
      </c>
      <c r="G84" s="18" t="str">
        <f t="shared" si="10"/>
        <v>Введите занчения</v>
      </c>
      <c r="H84" s="42" t="str">
        <f t="shared" si="12"/>
        <v>Введите занчения</v>
      </c>
      <c r="I84" s="14">
        <f>SUMIF('02.08'!$B$4:$B$11,A80,'02.08'!$C$4:$C$11)+SUMIF('02.08'!$D$4:$D$11,A80,'02.08'!$E$4:$E$11)+SUMIF('02.08'!$F$4:$F$11,A80,'02.08'!$G$4:$G$11)+SUMIF('02.08'!$H$4:$H$11,A80,'02.08'!$I$4:$I$11)+SUMIF('02.08'!$J$4:$J$11,A80,'02.08'!$K$4:$K$11)+SUMIF('02.08'!$L$4:$L$11,A80,'02.08'!$M$4:$M$11)+SUMIF('02.08'!$N$4:$N$11,A80,'02.08'!$O$4:$O$11)</f>
        <v>0</v>
      </c>
      <c r="J84" s="15">
        <f>SUMIF('03.08'!$B$4:$B$11,A80,'03.08'!$C$4:$C$11)+SUMIF('03.08'!$D$4:$D$11,A80,'03.08'!$E$4:$E$11)+SUMIF('03.08'!$F$4:$F$11,A80,'03.08'!$G$4:$G$11)+SUMIF('03.08'!$H$4:$H$11,A80,'03.08'!$I$4:$I$11)+SUMIF('03.08'!$J$4:$J$11,A80,'03.08'!$K$4:$K$11)+SUMIF('03.08'!$L$4:$L$11,A80,'03.08'!$M$4:$M$11)+SUMIF('03.08'!$N$4:$N$11,A80,'03.08'!$O$4:$O$11)</f>
        <v>0</v>
      </c>
      <c r="K84" s="15">
        <f>SUMIF('04.08'!$B$4:$B$11,A80,'04.08'!$C$4:$C$11)+SUMIF('04.08'!$D$4:$D$11,A80,'04.08'!$E$4:$E$11)+SUMIF('04.08'!$F$4:$F$11,A80,'04.08'!$G$4:$G$11)+SUMIF('04.08'!$H$4:$H$11,A80,'04.08'!$I$4:$I$11)+SUMIF('04.08'!$J$4:$J$11,A80,'04.08'!$K$4:$K$11)+SUMIF('04.08'!$L$4:$L$11,A80,'04.08'!$M$4:$M$11)+SUMIF('04.08'!$N$4:$N$11,A80,'04.08'!$O$4:$O$11)</f>
        <v>0</v>
      </c>
      <c r="L84" s="15">
        <f>SUMIF('05.08'!$B$4:$B$11,A80,'05.08'!$C$4:$C$11)+SUMIF('05.08'!$D$4:$D$11,A80,'05.08'!$E$4:$E$11)+SUMIF('05.08'!$F$4:$F$11,A80,'05.08'!$G$4:$G$11)+SUMIF('05.08'!$H$4:$H$11,A80,'05.08'!$I$4:$I$11)+SUMIF('05.08'!$J$4:$J$11,A80,'05.08'!$K$4:$K$11)+SUMIF('05.08'!$L$4:$L$11,A80,'05.08'!$M$4:$M$11)+SUMIF('05.08'!$N$4:$N$11,A80,'05.08'!$O$4:$O$11)</f>
        <v>0</v>
      </c>
      <c r="M84" s="15">
        <f>SUMIF('06.08'!$B$4:$B$11,A80,'06.08'!$C$4:$C$11)+SUMIF('06.08'!$D$4:$D$11,A80,'06.08'!$E$4:$E$11)+SUMIF('06.08'!$F$4:$F$11,A80,'06.08'!$G$4:$G$11)+SUMIF('06.08'!$H$4:$H$11,A80,'06.08'!$I$4:$I$11)+SUMIF('06.08'!$J$4:$J$11,A80,'06.08'!$K$4:$K$11)+SUMIF('06.08'!$L$4:$L$11,A80,'06.08'!$M$4:$M$11)+SUMIF('06.08'!$N$4:$N$11,A80,'06.08'!$O$4:$O$11)</f>
        <v>0</v>
      </c>
      <c r="N84" s="15">
        <f>SUMIF('07.08'!$B$4:$B$11,A80,'07.08'!$C$4:$C$11)+SUMIF('07.08'!$D$4:$D$11,A80,'07.08'!$E$4:$E$11)+SUMIF('07.08'!$F$4:$F$11,A80,'07.08'!$G$4:$G$11)+SUMIF('07.08'!$H$4:$H$11,A80,'07.08'!$I$4:$I$11)+SUMIF('07.08'!$J$4:$J$11,A80,'07.08'!$K$4:$K$11)+SUMIF('07.08'!$L$4:$L$11,A80,'07.08'!$M$4:$M$11)+SUMIF('07.08'!$N$4:$N$11,A80,'07.08'!$O$4:$O$11)</f>
        <v>0</v>
      </c>
      <c r="O84" s="15">
        <f>SUMIF('08.08'!$B$4:$B$11,A80,'08.08'!$C$4:$C$11)+SUMIF('08.08'!$D$4:$D$11,A80,'08.08'!$E$4:$E$11)+SUMIF('08.08'!$F$4:$F$11,A80,'08.08'!$G$4:$G$11)+SUMIF('08.08'!$H$4:$H$11,A80,'08.08'!$I$4:$I$11)+SUMIF('08.08'!$J$4:$J$11,A80,'08.08'!$K$4:$K$11)+SUMIF('08.08'!$L$4:$L$11,A80,'08.08'!$M$4:$M$11)+SUMIF('08.08'!$N$4:$N$11,A80,'08.08'!$O$4:$O$11)</f>
        <v>0</v>
      </c>
      <c r="P84" s="15">
        <f>SUMIF('09.08'!$B$4:$B$11,A80,'09.08'!$C$4:$C$11)+SUMIF('09.08'!$D$4:$D$11,A80,'09.08'!$E$4:$E$11)+SUMIF('09.08'!$F$4:$F$11,A80,'09.08'!$G$4:$G$11)+SUMIF('09.08'!$H$4:$H$11,A80,'09.08'!$I$4:$I$11)+SUMIF('09.08'!$J$4:$J$11,A80,'09.08'!$K$4:$K$11)+SUMIF('09.08'!$L$4:$L$11,A80,'09.08'!$M$4:$M$11)+SUMIF('09.08'!$N$4:$N$11,A80,'09.08'!$O$4:$O$11)</f>
        <v>0</v>
      </c>
      <c r="Q84" s="15">
        <f>SUMIF('10.08'!$B$4:$B$11,A80,'10.08'!$C$4:$C$11)+SUMIF('10.08'!$D$4:$D$11,A80,'10.08'!$E$4:$E$11)+SUMIF('10.08'!$F$4:$F$11,A80,'10.08'!$G$4:$G$11)+SUMIF('10.08'!$H$4:$H$11,A80,'10.08'!$I$4:$I$11)+SUMIF('10.08'!$J$4:$J$11,A80,'10.08'!$K$4:$K$11)+SUMIF('10.08'!$L$4:$L$11,A80,'10.08'!$M$4:$M$11)+SUMIF('10.08'!$N$4:$N$11,A80,'10.08'!$O$4:$O$11)</f>
        <v>0</v>
      </c>
      <c r="R84" s="16" t="str">
        <f t="shared" si="14"/>
        <v>#N/A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>
      <c r="A85" s="39" t="str">
        <f>'список продуктов'!A105</f>
        <v/>
      </c>
      <c r="B85" s="39" t="str">
        <f>'список продуктов'!B105</f>
        <v/>
      </c>
      <c r="C85" s="39" t="str">
        <f>'список продуктов'!C105</f>
        <v/>
      </c>
      <c r="D85" s="39" t="str">
        <f>'список продуктов'!D105</f>
        <v/>
      </c>
      <c r="E85" s="39" t="str">
        <f>'список продуктов'!E105</f>
        <v/>
      </c>
      <c r="F85" s="17" t="str">
        <f t="shared" si="15"/>
        <v>#N/A</v>
      </c>
      <c r="G85" s="18" t="str">
        <f t="shared" si="10"/>
        <v>Введите занчения</v>
      </c>
      <c r="H85" s="42" t="str">
        <f t="shared" si="12"/>
        <v>Введите занчения</v>
      </c>
      <c r="I85" s="14">
        <f>SUMIF('02.08'!$B$4:$B$11,A81,'02.08'!$C$4:$C$11)+SUMIF('02.08'!$D$4:$D$11,A81,'02.08'!$E$4:$E$11)+SUMIF('02.08'!$F$4:$F$11,A81,'02.08'!$G$4:$G$11)+SUMIF('02.08'!$H$4:$H$11,A81,'02.08'!$I$4:$I$11)+SUMIF('02.08'!$J$4:$J$11,A81,'02.08'!$K$4:$K$11)+SUMIF('02.08'!$L$4:$L$11,A81,'02.08'!$M$4:$M$11)+SUMIF('02.08'!$N$4:$N$11,A81,'02.08'!$O$4:$O$11)</f>
        <v>0</v>
      </c>
      <c r="J85" s="15">
        <f>SUMIF('03.08'!$B$4:$B$11,A81,'03.08'!$C$4:$C$11)+SUMIF('03.08'!$D$4:$D$11,A81,'03.08'!$E$4:$E$11)+SUMIF('03.08'!$F$4:$F$11,A81,'03.08'!$G$4:$G$11)+SUMIF('03.08'!$H$4:$H$11,A81,'03.08'!$I$4:$I$11)+SUMIF('03.08'!$J$4:$J$11,A81,'03.08'!$K$4:$K$11)+SUMIF('03.08'!$L$4:$L$11,A81,'03.08'!$M$4:$M$11)+SUMIF('03.08'!$N$4:$N$11,A81,'03.08'!$O$4:$O$11)</f>
        <v>0</v>
      </c>
      <c r="K85" s="15">
        <f>SUMIF('04.08'!$B$4:$B$11,A81,'04.08'!$C$4:$C$11)+SUMIF('04.08'!$D$4:$D$11,A81,'04.08'!$E$4:$E$11)+SUMIF('04.08'!$F$4:$F$11,A81,'04.08'!$G$4:$G$11)+SUMIF('04.08'!$H$4:$H$11,A81,'04.08'!$I$4:$I$11)+SUMIF('04.08'!$J$4:$J$11,A81,'04.08'!$K$4:$K$11)+SUMIF('04.08'!$L$4:$L$11,A81,'04.08'!$M$4:$M$11)+SUMIF('04.08'!$N$4:$N$11,A81,'04.08'!$O$4:$O$11)</f>
        <v>0</v>
      </c>
      <c r="L85" s="15">
        <f>SUMIF('05.08'!$B$4:$B$11,A81,'05.08'!$C$4:$C$11)+SUMIF('05.08'!$D$4:$D$11,A81,'05.08'!$E$4:$E$11)+SUMIF('05.08'!$F$4:$F$11,A81,'05.08'!$G$4:$G$11)+SUMIF('05.08'!$H$4:$H$11,A81,'05.08'!$I$4:$I$11)+SUMIF('05.08'!$J$4:$J$11,A81,'05.08'!$K$4:$K$11)+SUMIF('05.08'!$L$4:$L$11,A81,'05.08'!$M$4:$M$11)+SUMIF('05.08'!$N$4:$N$11,A81,'05.08'!$O$4:$O$11)</f>
        <v>0</v>
      </c>
      <c r="M85" s="15">
        <f>SUMIF('06.08'!$B$4:$B$11,A81,'06.08'!$C$4:$C$11)+SUMIF('06.08'!$D$4:$D$11,A81,'06.08'!$E$4:$E$11)+SUMIF('06.08'!$F$4:$F$11,A81,'06.08'!$G$4:$G$11)+SUMIF('06.08'!$H$4:$H$11,A81,'06.08'!$I$4:$I$11)+SUMIF('06.08'!$J$4:$J$11,A81,'06.08'!$K$4:$K$11)+SUMIF('06.08'!$L$4:$L$11,A81,'06.08'!$M$4:$M$11)+SUMIF('06.08'!$N$4:$N$11,A81,'06.08'!$O$4:$O$11)</f>
        <v>0</v>
      </c>
      <c r="N85" s="15">
        <f>SUMIF('07.08'!$B$4:$B$11,A81,'07.08'!$C$4:$C$11)+SUMIF('07.08'!$D$4:$D$11,A81,'07.08'!$E$4:$E$11)+SUMIF('07.08'!$F$4:$F$11,A81,'07.08'!$G$4:$G$11)+SUMIF('07.08'!$H$4:$H$11,A81,'07.08'!$I$4:$I$11)+SUMIF('07.08'!$J$4:$J$11,A81,'07.08'!$K$4:$K$11)+SUMIF('07.08'!$L$4:$L$11,A81,'07.08'!$M$4:$M$11)+SUMIF('07.08'!$N$4:$N$11,A81,'07.08'!$O$4:$O$11)</f>
        <v>0</v>
      </c>
      <c r="O85" s="15">
        <f>SUMIF('08.08'!$B$4:$B$11,A81,'08.08'!$C$4:$C$11)+SUMIF('08.08'!$D$4:$D$11,A81,'08.08'!$E$4:$E$11)+SUMIF('08.08'!$F$4:$F$11,A81,'08.08'!$G$4:$G$11)+SUMIF('08.08'!$H$4:$H$11,A81,'08.08'!$I$4:$I$11)+SUMIF('08.08'!$J$4:$J$11,A81,'08.08'!$K$4:$K$11)+SUMIF('08.08'!$L$4:$L$11,A81,'08.08'!$M$4:$M$11)+SUMIF('08.08'!$N$4:$N$11,A81,'08.08'!$O$4:$O$11)</f>
        <v>0</v>
      </c>
      <c r="P85" s="15">
        <f>SUMIF('09.08'!$B$4:$B$11,A81,'09.08'!$C$4:$C$11)+SUMIF('09.08'!$D$4:$D$11,A81,'09.08'!$E$4:$E$11)+SUMIF('09.08'!$F$4:$F$11,A81,'09.08'!$G$4:$G$11)+SUMIF('09.08'!$H$4:$H$11,A81,'09.08'!$I$4:$I$11)+SUMIF('09.08'!$J$4:$J$11,A81,'09.08'!$K$4:$K$11)+SUMIF('09.08'!$L$4:$L$11,A81,'09.08'!$M$4:$M$11)+SUMIF('09.08'!$N$4:$N$11,A81,'09.08'!$O$4:$O$11)</f>
        <v>0</v>
      </c>
      <c r="Q85" s="15">
        <f>SUMIF('10.08'!$B$4:$B$11,A81,'10.08'!$C$4:$C$11)+SUMIF('10.08'!$D$4:$D$11,A81,'10.08'!$E$4:$E$11)+SUMIF('10.08'!$F$4:$F$11,A81,'10.08'!$G$4:$G$11)+SUMIF('10.08'!$H$4:$H$11,A81,'10.08'!$I$4:$I$11)+SUMIF('10.08'!$J$4:$J$11,A81,'10.08'!$K$4:$K$11)+SUMIF('10.08'!$L$4:$L$11,A81,'10.08'!$M$4:$M$11)+SUMIF('10.08'!$N$4:$N$11,A81,'10.08'!$O$4:$O$11)</f>
        <v>0</v>
      </c>
      <c r="R85" s="16" t="str">
        <f t="shared" si="14"/>
        <v>#N/A</v>
      </c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>
      <c r="A86" s="39" t="str">
        <f>'список продуктов'!A106</f>
        <v/>
      </c>
      <c r="B86" s="39" t="str">
        <f>'список продуктов'!B106</f>
        <v/>
      </c>
      <c r="C86" s="39" t="str">
        <f>'список продуктов'!C106</f>
        <v/>
      </c>
      <c r="D86" s="39" t="str">
        <f>'список продуктов'!D106</f>
        <v/>
      </c>
      <c r="E86" s="39" t="str">
        <f>'список продуктов'!E106</f>
        <v/>
      </c>
      <c r="F86" s="17" t="str">
        <f t="shared" si="15"/>
        <v>#N/A</v>
      </c>
      <c r="G86" s="18" t="str">
        <f t="shared" si="10"/>
        <v>Введите занчения</v>
      </c>
      <c r="H86" s="42" t="str">
        <f t="shared" si="12"/>
        <v>Введите занчения</v>
      </c>
      <c r="I86" s="14">
        <f>SUMIF('02.08'!$B$4:$B$11,A82,'02.08'!$C$4:$C$11)+SUMIF('02.08'!$D$4:$D$11,A82,'02.08'!$E$4:$E$11)+SUMIF('02.08'!$F$4:$F$11,A82,'02.08'!$G$4:$G$11)+SUMIF('02.08'!$H$4:$H$11,A82,'02.08'!$I$4:$I$11)+SUMIF('02.08'!$J$4:$J$11,A82,'02.08'!$K$4:$K$11)+SUMIF('02.08'!$L$4:$L$11,A82,'02.08'!$M$4:$M$11)+SUMIF('02.08'!$N$4:$N$11,A82,'02.08'!$O$4:$O$11)</f>
        <v>0</v>
      </c>
      <c r="J86" s="15">
        <f>SUMIF('03.08'!$B$4:$B$11,A82,'03.08'!$C$4:$C$11)+SUMIF('03.08'!$D$4:$D$11,A82,'03.08'!$E$4:$E$11)+SUMIF('03.08'!$F$4:$F$11,A82,'03.08'!$G$4:$G$11)+SUMIF('03.08'!$H$4:$H$11,A82,'03.08'!$I$4:$I$11)+SUMIF('03.08'!$J$4:$J$11,A82,'03.08'!$K$4:$K$11)+SUMIF('03.08'!$L$4:$L$11,A82,'03.08'!$M$4:$M$11)+SUMIF('03.08'!$N$4:$N$11,A82,'03.08'!$O$4:$O$11)</f>
        <v>0</v>
      </c>
      <c r="K86" s="15">
        <f>SUMIF('04.08'!$B$4:$B$11,A82,'04.08'!$C$4:$C$11)+SUMIF('04.08'!$D$4:$D$11,A82,'04.08'!$E$4:$E$11)+SUMIF('04.08'!$F$4:$F$11,A82,'04.08'!$G$4:$G$11)+SUMIF('04.08'!$H$4:$H$11,A82,'04.08'!$I$4:$I$11)+SUMIF('04.08'!$J$4:$J$11,A82,'04.08'!$K$4:$K$11)+SUMIF('04.08'!$L$4:$L$11,A82,'04.08'!$M$4:$M$11)+SUMIF('04.08'!$N$4:$N$11,A82,'04.08'!$O$4:$O$11)</f>
        <v>0</v>
      </c>
      <c r="L86" s="15">
        <f>SUMIF('05.08'!$B$4:$B$11,A82,'05.08'!$C$4:$C$11)+SUMIF('05.08'!$D$4:$D$11,A82,'05.08'!$E$4:$E$11)+SUMIF('05.08'!$F$4:$F$11,A82,'05.08'!$G$4:$G$11)+SUMIF('05.08'!$H$4:$H$11,A82,'05.08'!$I$4:$I$11)+SUMIF('05.08'!$J$4:$J$11,A82,'05.08'!$K$4:$K$11)+SUMIF('05.08'!$L$4:$L$11,A82,'05.08'!$M$4:$M$11)+SUMIF('05.08'!$N$4:$N$11,A82,'05.08'!$O$4:$O$11)</f>
        <v>0</v>
      </c>
      <c r="M86" s="15">
        <f>SUMIF('06.08'!$B$4:$B$11,A82,'06.08'!$C$4:$C$11)+SUMIF('06.08'!$D$4:$D$11,A82,'06.08'!$E$4:$E$11)+SUMIF('06.08'!$F$4:$F$11,A82,'06.08'!$G$4:$G$11)+SUMIF('06.08'!$H$4:$H$11,A82,'06.08'!$I$4:$I$11)+SUMIF('06.08'!$J$4:$J$11,A82,'06.08'!$K$4:$K$11)+SUMIF('06.08'!$L$4:$L$11,A82,'06.08'!$M$4:$M$11)+SUMIF('06.08'!$N$4:$N$11,A82,'06.08'!$O$4:$O$11)</f>
        <v>0</v>
      </c>
      <c r="N86" s="15">
        <f>SUMIF('07.08'!$B$4:$B$11,A82,'07.08'!$C$4:$C$11)+SUMIF('07.08'!$D$4:$D$11,A82,'07.08'!$E$4:$E$11)+SUMIF('07.08'!$F$4:$F$11,A82,'07.08'!$G$4:$G$11)+SUMIF('07.08'!$H$4:$H$11,A82,'07.08'!$I$4:$I$11)+SUMIF('07.08'!$J$4:$J$11,A82,'07.08'!$K$4:$K$11)+SUMIF('07.08'!$L$4:$L$11,A82,'07.08'!$M$4:$M$11)+SUMIF('07.08'!$N$4:$N$11,A82,'07.08'!$O$4:$O$11)</f>
        <v>0</v>
      </c>
      <c r="O86" s="15">
        <f>SUMIF('08.08'!$B$4:$B$11,A82,'08.08'!$C$4:$C$11)+SUMIF('08.08'!$D$4:$D$11,A82,'08.08'!$E$4:$E$11)+SUMIF('08.08'!$F$4:$F$11,A82,'08.08'!$G$4:$G$11)+SUMIF('08.08'!$H$4:$H$11,A82,'08.08'!$I$4:$I$11)+SUMIF('08.08'!$J$4:$J$11,A82,'08.08'!$K$4:$K$11)+SUMIF('08.08'!$L$4:$L$11,A82,'08.08'!$M$4:$M$11)+SUMIF('08.08'!$N$4:$N$11,A82,'08.08'!$O$4:$O$11)</f>
        <v>0</v>
      </c>
      <c r="P86" s="15">
        <f>SUMIF('09.08'!$B$4:$B$11,A82,'09.08'!$C$4:$C$11)+SUMIF('09.08'!$D$4:$D$11,A82,'09.08'!$E$4:$E$11)+SUMIF('09.08'!$F$4:$F$11,A82,'09.08'!$G$4:$G$11)+SUMIF('09.08'!$H$4:$H$11,A82,'09.08'!$I$4:$I$11)+SUMIF('09.08'!$J$4:$J$11,A82,'09.08'!$K$4:$K$11)+SUMIF('09.08'!$L$4:$L$11,A82,'09.08'!$M$4:$M$11)+SUMIF('09.08'!$N$4:$N$11,A82,'09.08'!$O$4:$O$11)</f>
        <v>0</v>
      </c>
      <c r="Q86" s="15">
        <f>SUMIF('10.08'!$B$4:$B$11,A82,'10.08'!$C$4:$C$11)+SUMIF('10.08'!$D$4:$D$11,A82,'10.08'!$E$4:$E$11)+SUMIF('10.08'!$F$4:$F$11,A82,'10.08'!$G$4:$G$11)+SUMIF('10.08'!$H$4:$H$11,A82,'10.08'!$I$4:$I$11)+SUMIF('10.08'!$J$4:$J$11,A82,'10.08'!$K$4:$K$11)+SUMIF('10.08'!$L$4:$L$11,A82,'10.08'!$M$4:$M$11)+SUMIF('10.08'!$N$4:$N$11,A82,'10.08'!$O$4:$O$11)</f>
        <v>0</v>
      </c>
      <c r="R86" s="16" t="str">
        <f t="shared" si="14"/>
        <v>#N/A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>
      <c r="A87" s="39" t="str">
        <f>'список продуктов'!A107</f>
        <v/>
      </c>
      <c r="B87" s="39" t="str">
        <f>'список продуктов'!B107</f>
        <v/>
      </c>
      <c r="C87" s="39" t="str">
        <f>'список продуктов'!C107</f>
        <v/>
      </c>
      <c r="D87" s="39" t="str">
        <f>'список продуктов'!D107</f>
        <v/>
      </c>
      <c r="E87" s="39" t="str">
        <f>'список продуктов'!E107</f>
        <v/>
      </c>
      <c r="F87" s="17" t="str">
        <f t="shared" si="15"/>
        <v>#N/A</v>
      </c>
      <c r="G87" s="18" t="str">
        <f t="shared" si="10"/>
        <v>Введите занчения</v>
      </c>
      <c r="H87" s="42" t="str">
        <f t="shared" si="12"/>
        <v>Введите занчения</v>
      </c>
      <c r="I87" s="14">
        <f>SUMIF('02.08'!$B$4:$B$11,A83,'02.08'!$C$4:$C$11)+SUMIF('02.08'!$D$4:$D$11,A83,'02.08'!$E$4:$E$11)+SUMIF('02.08'!$F$4:$F$11,A83,'02.08'!$G$4:$G$11)+SUMIF('02.08'!$H$4:$H$11,A83,'02.08'!$I$4:$I$11)+SUMIF('02.08'!$J$4:$J$11,A83,'02.08'!$K$4:$K$11)+SUMIF('02.08'!$L$4:$L$11,A83,'02.08'!$M$4:$M$11)+SUMIF('02.08'!$N$4:$N$11,A83,'02.08'!$O$4:$O$11)</f>
        <v>0</v>
      </c>
      <c r="J87" s="15">
        <f>SUMIF('03.08'!$B$4:$B$11,A83,'03.08'!$C$4:$C$11)+SUMIF('03.08'!$D$4:$D$11,A83,'03.08'!$E$4:$E$11)+SUMIF('03.08'!$F$4:$F$11,A83,'03.08'!$G$4:$G$11)+SUMIF('03.08'!$H$4:$H$11,A83,'03.08'!$I$4:$I$11)+SUMIF('03.08'!$J$4:$J$11,A83,'03.08'!$K$4:$K$11)+SUMIF('03.08'!$L$4:$L$11,A83,'03.08'!$M$4:$M$11)+SUMIF('03.08'!$N$4:$N$11,A83,'03.08'!$O$4:$O$11)</f>
        <v>0</v>
      </c>
      <c r="K87" s="15">
        <f>SUMIF('04.08'!$B$4:$B$11,A83,'04.08'!$C$4:$C$11)+SUMIF('04.08'!$D$4:$D$11,A83,'04.08'!$E$4:$E$11)+SUMIF('04.08'!$F$4:$F$11,A83,'04.08'!$G$4:$G$11)+SUMIF('04.08'!$H$4:$H$11,A83,'04.08'!$I$4:$I$11)+SUMIF('04.08'!$J$4:$J$11,A83,'04.08'!$K$4:$K$11)+SUMIF('04.08'!$L$4:$L$11,A83,'04.08'!$M$4:$M$11)+SUMIF('04.08'!$N$4:$N$11,A83,'04.08'!$O$4:$O$11)</f>
        <v>0</v>
      </c>
      <c r="L87" s="15">
        <f>SUMIF('05.08'!$B$4:$B$11,A83,'05.08'!$C$4:$C$11)+SUMIF('05.08'!$D$4:$D$11,A83,'05.08'!$E$4:$E$11)+SUMIF('05.08'!$F$4:$F$11,A83,'05.08'!$G$4:$G$11)+SUMIF('05.08'!$H$4:$H$11,A83,'05.08'!$I$4:$I$11)+SUMIF('05.08'!$J$4:$J$11,A83,'05.08'!$K$4:$K$11)+SUMIF('05.08'!$L$4:$L$11,A83,'05.08'!$M$4:$M$11)+SUMIF('05.08'!$N$4:$N$11,A83,'05.08'!$O$4:$O$11)</f>
        <v>0</v>
      </c>
      <c r="M87" s="15">
        <f>SUMIF('06.08'!$B$4:$B$11,A83,'06.08'!$C$4:$C$11)+SUMIF('06.08'!$D$4:$D$11,A83,'06.08'!$E$4:$E$11)+SUMIF('06.08'!$F$4:$F$11,A83,'06.08'!$G$4:$G$11)+SUMIF('06.08'!$H$4:$H$11,A83,'06.08'!$I$4:$I$11)+SUMIF('06.08'!$J$4:$J$11,A83,'06.08'!$K$4:$K$11)+SUMIF('06.08'!$L$4:$L$11,A83,'06.08'!$M$4:$M$11)+SUMIF('06.08'!$N$4:$N$11,A83,'06.08'!$O$4:$O$11)</f>
        <v>0</v>
      </c>
      <c r="N87" s="15">
        <f>SUMIF('07.08'!$B$4:$B$11,A83,'07.08'!$C$4:$C$11)+SUMIF('07.08'!$D$4:$D$11,A83,'07.08'!$E$4:$E$11)+SUMIF('07.08'!$F$4:$F$11,A83,'07.08'!$G$4:$G$11)+SUMIF('07.08'!$H$4:$H$11,A83,'07.08'!$I$4:$I$11)+SUMIF('07.08'!$J$4:$J$11,A83,'07.08'!$K$4:$K$11)+SUMIF('07.08'!$L$4:$L$11,A83,'07.08'!$M$4:$M$11)+SUMIF('07.08'!$N$4:$N$11,A83,'07.08'!$O$4:$O$11)</f>
        <v>0</v>
      </c>
      <c r="O87" s="15">
        <f>SUMIF('08.08'!$B$4:$B$11,A83,'08.08'!$C$4:$C$11)+SUMIF('08.08'!$D$4:$D$11,A83,'08.08'!$E$4:$E$11)+SUMIF('08.08'!$F$4:$F$11,A83,'08.08'!$G$4:$G$11)+SUMIF('08.08'!$H$4:$H$11,A83,'08.08'!$I$4:$I$11)+SUMIF('08.08'!$J$4:$J$11,A83,'08.08'!$K$4:$K$11)+SUMIF('08.08'!$L$4:$L$11,A83,'08.08'!$M$4:$M$11)+SUMIF('08.08'!$N$4:$N$11,A83,'08.08'!$O$4:$O$11)</f>
        <v>0</v>
      </c>
      <c r="P87" s="15">
        <f>SUMIF('09.08'!$B$4:$B$11,A83,'09.08'!$C$4:$C$11)+SUMIF('09.08'!$D$4:$D$11,A83,'09.08'!$E$4:$E$11)+SUMIF('09.08'!$F$4:$F$11,A83,'09.08'!$G$4:$G$11)+SUMIF('09.08'!$H$4:$H$11,A83,'09.08'!$I$4:$I$11)+SUMIF('09.08'!$J$4:$J$11,A83,'09.08'!$K$4:$K$11)+SUMIF('09.08'!$L$4:$L$11,A83,'09.08'!$M$4:$M$11)+SUMIF('09.08'!$N$4:$N$11,A83,'09.08'!$O$4:$O$11)</f>
        <v>0</v>
      </c>
      <c r="Q87" s="15">
        <f>SUMIF('10.08'!$B$4:$B$11,A83,'10.08'!$C$4:$C$11)+SUMIF('10.08'!$D$4:$D$11,A83,'10.08'!$E$4:$E$11)+SUMIF('10.08'!$F$4:$F$11,A83,'10.08'!$G$4:$G$11)+SUMIF('10.08'!$H$4:$H$11,A83,'10.08'!$I$4:$I$11)+SUMIF('10.08'!$J$4:$J$11,A83,'10.08'!$K$4:$K$11)+SUMIF('10.08'!$L$4:$L$11,A83,'10.08'!$M$4:$M$11)+SUMIF('10.08'!$N$4:$N$11,A83,'10.08'!$O$4:$O$11)</f>
        <v>0</v>
      </c>
      <c r="R87" s="16" t="str">
        <f t="shared" si="14"/>
        <v>#N/A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</row>
    <row r="88">
      <c r="A88" s="39" t="str">
        <f>'список продуктов'!A108</f>
        <v/>
      </c>
      <c r="B88" s="39" t="str">
        <f>'список продуктов'!B108</f>
        <v/>
      </c>
      <c r="C88" s="39" t="str">
        <f>'список продуктов'!C108</f>
        <v/>
      </c>
      <c r="D88" s="39" t="str">
        <f>'список продуктов'!D108</f>
        <v/>
      </c>
      <c r="E88" s="39" t="str">
        <f>'список продуктов'!E108</f>
        <v/>
      </c>
      <c r="F88" s="17" t="str">
        <f t="shared" si="15"/>
        <v>#N/A</v>
      </c>
      <c r="G88" s="18" t="str">
        <f t="shared" si="10"/>
        <v>Введите занчения</v>
      </c>
      <c r="H88" s="42" t="str">
        <f t="shared" si="12"/>
        <v>Введите занчения</v>
      </c>
      <c r="I88" s="14">
        <f>SUMIF('02.08'!$B$4:$B$11,A84,'02.08'!$C$4:$C$11)+SUMIF('02.08'!$D$4:$D$11,A84,'02.08'!$E$4:$E$11)+SUMIF('02.08'!$F$4:$F$11,A84,'02.08'!$G$4:$G$11)+SUMIF('02.08'!$H$4:$H$11,A84,'02.08'!$I$4:$I$11)+SUMIF('02.08'!$J$4:$J$11,A84,'02.08'!$K$4:$K$11)+SUMIF('02.08'!$L$4:$L$11,A84,'02.08'!$M$4:$M$11)+SUMIF('02.08'!$N$4:$N$11,A84,'02.08'!$O$4:$O$11)</f>
        <v>0</v>
      </c>
      <c r="J88" s="15">
        <f>SUMIF('03.08'!$B$4:$B$11,A84,'03.08'!$C$4:$C$11)+SUMIF('03.08'!$D$4:$D$11,A84,'03.08'!$E$4:$E$11)+SUMIF('03.08'!$F$4:$F$11,A84,'03.08'!$G$4:$G$11)+SUMIF('03.08'!$H$4:$H$11,A84,'03.08'!$I$4:$I$11)+SUMIF('03.08'!$J$4:$J$11,A84,'03.08'!$K$4:$K$11)+SUMIF('03.08'!$L$4:$L$11,A84,'03.08'!$M$4:$M$11)+SUMIF('03.08'!$N$4:$N$11,A84,'03.08'!$O$4:$O$11)</f>
        <v>0</v>
      </c>
      <c r="K88" s="15">
        <f>SUMIF('04.08'!$B$4:$B$11,A84,'04.08'!$C$4:$C$11)+SUMIF('04.08'!$D$4:$D$11,A84,'04.08'!$E$4:$E$11)+SUMIF('04.08'!$F$4:$F$11,A84,'04.08'!$G$4:$G$11)+SUMIF('04.08'!$H$4:$H$11,A84,'04.08'!$I$4:$I$11)+SUMIF('04.08'!$J$4:$J$11,A84,'04.08'!$K$4:$K$11)+SUMIF('04.08'!$L$4:$L$11,A84,'04.08'!$M$4:$M$11)+SUMIF('04.08'!$N$4:$N$11,A84,'04.08'!$O$4:$O$11)</f>
        <v>0</v>
      </c>
      <c r="L88" s="15">
        <f>SUMIF('05.08'!$B$4:$B$11,A84,'05.08'!$C$4:$C$11)+SUMIF('05.08'!$D$4:$D$11,A84,'05.08'!$E$4:$E$11)+SUMIF('05.08'!$F$4:$F$11,A84,'05.08'!$G$4:$G$11)+SUMIF('05.08'!$H$4:$H$11,A84,'05.08'!$I$4:$I$11)+SUMIF('05.08'!$J$4:$J$11,A84,'05.08'!$K$4:$K$11)+SUMIF('05.08'!$L$4:$L$11,A84,'05.08'!$M$4:$M$11)+SUMIF('05.08'!$N$4:$N$11,A84,'05.08'!$O$4:$O$11)</f>
        <v>0</v>
      </c>
      <c r="M88" s="15">
        <f>SUMIF('06.08'!$B$4:$B$11,A84,'06.08'!$C$4:$C$11)+SUMIF('06.08'!$D$4:$D$11,A84,'06.08'!$E$4:$E$11)+SUMIF('06.08'!$F$4:$F$11,A84,'06.08'!$G$4:$G$11)+SUMIF('06.08'!$H$4:$H$11,A84,'06.08'!$I$4:$I$11)+SUMIF('06.08'!$J$4:$J$11,A84,'06.08'!$K$4:$K$11)+SUMIF('06.08'!$L$4:$L$11,A84,'06.08'!$M$4:$M$11)+SUMIF('06.08'!$N$4:$N$11,A84,'06.08'!$O$4:$O$11)</f>
        <v>0</v>
      </c>
      <c r="N88" s="15">
        <f>SUMIF('07.08'!$B$4:$B$11,A84,'07.08'!$C$4:$C$11)+SUMIF('07.08'!$D$4:$D$11,A84,'07.08'!$E$4:$E$11)+SUMIF('07.08'!$F$4:$F$11,A84,'07.08'!$G$4:$G$11)+SUMIF('07.08'!$H$4:$H$11,A84,'07.08'!$I$4:$I$11)+SUMIF('07.08'!$J$4:$J$11,A84,'07.08'!$K$4:$K$11)+SUMIF('07.08'!$L$4:$L$11,A84,'07.08'!$M$4:$M$11)+SUMIF('07.08'!$N$4:$N$11,A84,'07.08'!$O$4:$O$11)</f>
        <v>0</v>
      </c>
      <c r="O88" s="15">
        <f>SUMIF('08.08'!$B$4:$B$11,A84,'08.08'!$C$4:$C$11)+SUMIF('08.08'!$D$4:$D$11,A84,'08.08'!$E$4:$E$11)+SUMIF('08.08'!$F$4:$F$11,A84,'08.08'!$G$4:$G$11)+SUMIF('08.08'!$H$4:$H$11,A84,'08.08'!$I$4:$I$11)+SUMIF('08.08'!$J$4:$J$11,A84,'08.08'!$K$4:$K$11)+SUMIF('08.08'!$L$4:$L$11,A84,'08.08'!$M$4:$M$11)+SUMIF('08.08'!$N$4:$N$11,A84,'08.08'!$O$4:$O$11)</f>
        <v>0</v>
      </c>
      <c r="P88" s="15">
        <f>SUMIF('09.08'!$B$4:$B$11,A84,'09.08'!$C$4:$C$11)+SUMIF('09.08'!$D$4:$D$11,A84,'09.08'!$E$4:$E$11)+SUMIF('09.08'!$F$4:$F$11,A84,'09.08'!$G$4:$G$11)+SUMIF('09.08'!$H$4:$H$11,A84,'09.08'!$I$4:$I$11)+SUMIF('09.08'!$J$4:$J$11,A84,'09.08'!$K$4:$K$11)+SUMIF('09.08'!$L$4:$L$11,A84,'09.08'!$M$4:$M$11)+SUMIF('09.08'!$N$4:$N$11,A84,'09.08'!$O$4:$O$11)</f>
        <v>0</v>
      </c>
      <c r="Q88" s="15">
        <f>SUMIF('10.08'!$B$4:$B$11,A84,'10.08'!$C$4:$C$11)+SUMIF('10.08'!$D$4:$D$11,A84,'10.08'!$E$4:$E$11)+SUMIF('10.08'!$F$4:$F$11,A84,'10.08'!$G$4:$G$11)+SUMIF('10.08'!$H$4:$H$11,A84,'10.08'!$I$4:$I$11)+SUMIF('10.08'!$J$4:$J$11,A84,'10.08'!$K$4:$K$11)+SUMIF('10.08'!$L$4:$L$11,A84,'10.08'!$M$4:$M$11)+SUMIF('10.08'!$N$4:$N$11,A84,'10.08'!$O$4:$O$11)</f>
        <v>0</v>
      </c>
      <c r="R88" s="16" t="str">
        <f t="shared" si="14"/>
        <v>#N/A</v>
      </c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>
      <c r="A89" s="39" t="str">
        <f>'список продуктов'!A109</f>
        <v/>
      </c>
      <c r="B89" s="39" t="str">
        <f>'список продуктов'!B109</f>
        <v/>
      </c>
      <c r="C89" s="39" t="str">
        <f>'список продуктов'!C109</f>
        <v/>
      </c>
      <c r="D89" s="39" t="str">
        <f>'список продуктов'!D109</f>
        <v/>
      </c>
      <c r="E89" s="39" t="str">
        <f>'список продуктов'!E109</f>
        <v/>
      </c>
      <c r="F89" s="17" t="str">
        <f t="shared" si="15"/>
        <v>#N/A</v>
      </c>
      <c r="G89" s="18" t="str">
        <f t="shared" si="10"/>
        <v>Введите занчения</v>
      </c>
      <c r="H89" s="42" t="str">
        <f t="shared" si="12"/>
        <v>Введите занчения</v>
      </c>
      <c r="I89" s="14">
        <f>SUMIF('02.08'!$B$4:$B$11,A85,'02.08'!$C$4:$C$11)+SUMIF('02.08'!$D$4:$D$11,A85,'02.08'!$E$4:$E$11)+SUMIF('02.08'!$F$4:$F$11,A85,'02.08'!$G$4:$G$11)+SUMIF('02.08'!$H$4:$H$11,A85,'02.08'!$I$4:$I$11)+SUMIF('02.08'!$J$4:$J$11,A85,'02.08'!$K$4:$K$11)+SUMIF('02.08'!$L$4:$L$11,A85,'02.08'!$M$4:$M$11)+SUMIF('02.08'!$N$4:$N$11,A85,'02.08'!$O$4:$O$11)</f>
        <v>0</v>
      </c>
      <c r="J89" s="15">
        <f>SUMIF('03.08'!$B$4:$B$11,A85,'03.08'!$C$4:$C$11)+SUMIF('03.08'!$D$4:$D$11,A85,'03.08'!$E$4:$E$11)+SUMIF('03.08'!$F$4:$F$11,A85,'03.08'!$G$4:$G$11)+SUMIF('03.08'!$H$4:$H$11,A85,'03.08'!$I$4:$I$11)+SUMIF('03.08'!$J$4:$J$11,A85,'03.08'!$K$4:$K$11)+SUMIF('03.08'!$L$4:$L$11,A85,'03.08'!$M$4:$M$11)+SUMIF('03.08'!$N$4:$N$11,A85,'03.08'!$O$4:$O$11)</f>
        <v>0</v>
      </c>
      <c r="K89" s="15">
        <f>SUMIF('04.08'!$B$4:$B$11,A85,'04.08'!$C$4:$C$11)+SUMIF('04.08'!$D$4:$D$11,A85,'04.08'!$E$4:$E$11)+SUMIF('04.08'!$F$4:$F$11,A85,'04.08'!$G$4:$G$11)+SUMIF('04.08'!$H$4:$H$11,A85,'04.08'!$I$4:$I$11)+SUMIF('04.08'!$J$4:$J$11,A85,'04.08'!$K$4:$K$11)+SUMIF('04.08'!$L$4:$L$11,A85,'04.08'!$M$4:$M$11)+SUMIF('04.08'!$N$4:$N$11,A85,'04.08'!$O$4:$O$11)</f>
        <v>0</v>
      </c>
      <c r="L89" s="15">
        <f>SUMIF('05.08'!$B$4:$B$11,A85,'05.08'!$C$4:$C$11)+SUMIF('05.08'!$D$4:$D$11,A85,'05.08'!$E$4:$E$11)+SUMIF('05.08'!$F$4:$F$11,A85,'05.08'!$G$4:$G$11)+SUMIF('05.08'!$H$4:$H$11,A85,'05.08'!$I$4:$I$11)+SUMIF('05.08'!$J$4:$J$11,A85,'05.08'!$K$4:$K$11)+SUMIF('05.08'!$L$4:$L$11,A85,'05.08'!$M$4:$M$11)+SUMIF('05.08'!$N$4:$N$11,A85,'05.08'!$O$4:$O$11)</f>
        <v>0</v>
      </c>
      <c r="M89" s="15">
        <f>SUMIF('06.08'!$B$4:$B$11,A85,'06.08'!$C$4:$C$11)+SUMIF('06.08'!$D$4:$D$11,A85,'06.08'!$E$4:$E$11)+SUMIF('06.08'!$F$4:$F$11,A85,'06.08'!$G$4:$G$11)+SUMIF('06.08'!$H$4:$H$11,A85,'06.08'!$I$4:$I$11)+SUMIF('06.08'!$J$4:$J$11,A85,'06.08'!$K$4:$K$11)+SUMIF('06.08'!$L$4:$L$11,A85,'06.08'!$M$4:$M$11)+SUMIF('06.08'!$N$4:$N$11,A85,'06.08'!$O$4:$O$11)</f>
        <v>0</v>
      </c>
      <c r="N89" s="15">
        <f>SUMIF('07.08'!$B$4:$B$11,A85,'07.08'!$C$4:$C$11)+SUMIF('07.08'!$D$4:$D$11,A85,'07.08'!$E$4:$E$11)+SUMIF('07.08'!$F$4:$F$11,A85,'07.08'!$G$4:$G$11)+SUMIF('07.08'!$H$4:$H$11,A85,'07.08'!$I$4:$I$11)+SUMIF('07.08'!$J$4:$J$11,A85,'07.08'!$K$4:$K$11)+SUMIF('07.08'!$L$4:$L$11,A85,'07.08'!$M$4:$M$11)+SUMIF('07.08'!$N$4:$N$11,A85,'07.08'!$O$4:$O$11)</f>
        <v>0</v>
      </c>
      <c r="O89" s="15">
        <f>SUMIF('08.08'!$B$4:$B$11,A85,'08.08'!$C$4:$C$11)+SUMIF('08.08'!$D$4:$D$11,A85,'08.08'!$E$4:$E$11)+SUMIF('08.08'!$F$4:$F$11,A85,'08.08'!$G$4:$G$11)+SUMIF('08.08'!$H$4:$H$11,A85,'08.08'!$I$4:$I$11)+SUMIF('08.08'!$J$4:$J$11,A85,'08.08'!$K$4:$K$11)+SUMIF('08.08'!$L$4:$L$11,A85,'08.08'!$M$4:$M$11)+SUMIF('08.08'!$N$4:$N$11,A85,'08.08'!$O$4:$O$11)</f>
        <v>0</v>
      </c>
      <c r="P89" s="15">
        <f>SUMIF('09.08'!$B$4:$B$11,A85,'09.08'!$C$4:$C$11)+SUMIF('09.08'!$D$4:$D$11,A85,'09.08'!$E$4:$E$11)+SUMIF('09.08'!$F$4:$F$11,A85,'09.08'!$G$4:$G$11)+SUMIF('09.08'!$H$4:$H$11,A85,'09.08'!$I$4:$I$11)+SUMIF('09.08'!$J$4:$J$11,A85,'09.08'!$K$4:$K$11)+SUMIF('09.08'!$L$4:$L$11,A85,'09.08'!$M$4:$M$11)+SUMIF('09.08'!$N$4:$N$11,A85,'09.08'!$O$4:$O$11)</f>
        <v>0</v>
      </c>
      <c r="Q89" s="15">
        <f>SUMIF('10.08'!$B$4:$B$11,A85,'10.08'!$C$4:$C$11)+SUMIF('10.08'!$D$4:$D$11,A85,'10.08'!$E$4:$E$11)+SUMIF('10.08'!$F$4:$F$11,A85,'10.08'!$G$4:$G$11)+SUMIF('10.08'!$H$4:$H$11,A85,'10.08'!$I$4:$I$11)+SUMIF('10.08'!$J$4:$J$11,A85,'10.08'!$K$4:$K$11)+SUMIF('10.08'!$L$4:$L$11,A85,'10.08'!$M$4:$M$11)+SUMIF('10.08'!$N$4:$N$11,A85,'10.08'!$O$4:$O$11)</f>
        <v>0</v>
      </c>
      <c r="R89" s="16" t="str">
        <f t="shared" si="14"/>
        <v>#N/A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</row>
    <row r="90">
      <c r="A90" s="39" t="str">
        <f>'список продуктов'!A110</f>
        <v/>
      </c>
      <c r="B90" s="39" t="str">
        <f>'список продуктов'!B110</f>
        <v/>
      </c>
      <c r="C90" s="39" t="str">
        <f>'список продуктов'!C110</f>
        <v/>
      </c>
      <c r="D90" s="39" t="str">
        <f>'список продуктов'!D110</f>
        <v/>
      </c>
      <c r="E90" s="39" t="str">
        <f>'список продуктов'!E110</f>
        <v/>
      </c>
      <c r="F90" s="17" t="str">
        <f t="shared" si="15"/>
        <v>#N/A</v>
      </c>
      <c r="G90" s="18" t="str">
        <f t="shared" si="10"/>
        <v>Введите занчения</v>
      </c>
      <c r="H90" s="42" t="str">
        <f t="shared" si="12"/>
        <v>Введите занчения</v>
      </c>
      <c r="I90" s="14">
        <f>SUMIF('02.08'!$B$4:$B$11,A86,'02.08'!$C$4:$C$11)+SUMIF('02.08'!$D$4:$D$11,A86,'02.08'!$E$4:$E$11)+SUMIF('02.08'!$F$4:$F$11,A86,'02.08'!$G$4:$G$11)+SUMIF('02.08'!$H$4:$H$11,A86,'02.08'!$I$4:$I$11)+SUMIF('02.08'!$J$4:$J$11,A86,'02.08'!$K$4:$K$11)+SUMIF('02.08'!$L$4:$L$11,A86,'02.08'!$M$4:$M$11)+SUMIF('02.08'!$N$4:$N$11,A86,'02.08'!$O$4:$O$11)</f>
        <v>0</v>
      </c>
      <c r="J90" s="15">
        <f>SUMIF('03.08'!$B$4:$B$11,A86,'03.08'!$C$4:$C$11)+SUMIF('03.08'!$D$4:$D$11,A86,'03.08'!$E$4:$E$11)+SUMIF('03.08'!$F$4:$F$11,A86,'03.08'!$G$4:$G$11)+SUMIF('03.08'!$H$4:$H$11,A86,'03.08'!$I$4:$I$11)+SUMIF('03.08'!$J$4:$J$11,A86,'03.08'!$K$4:$K$11)+SUMIF('03.08'!$L$4:$L$11,A86,'03.08'!$M$4:$M$11)+SUMIF('03.08'!$N$4:$N$11,A86,'03.08'!$O$4:$O$11)</f>
        <v>0</v>
      </c>
      <c r="K90" s="15">
        <f>SUMIF('04.08'!$B$4:$B$11,A86,'04.08'!$C$4:$C$11)+SUMIF('04.08'!$D$4:$D$11,A86,'04.08'!$E$4:$E$11)+SUMIF('04.08'!$F$4:$F$11,A86,'04.08'!$G$4:$G$11)+SUMIF('04.08'!$H$4:$H$11,A86,'04.08'!$I$4:$I$11)+SUMIF('04.08'!$J$4:$J$11,A86,'04.08'!$K$4:$K$11)+SUMIF('04.08'!$L$4:$L$11,A86,'04.08'!$M$4:$M$11)+SUMIF('04.08'!$N$4:$N$11,A86,'04.08'!$O$4:$O$11)</f>
        <v>0</v>
      </c>
      <c r="L90" s="15">
        <f>SUMIF('05.08'!$B$4:$B$11,A86,'05.08'!$C$4:$C$11)+SUMIF('05.08'!$D$4:$D$11,A86,'05.08'!$E$4:$E$11)+SUMIF('05.08'!$F$4:$F$11,A86,'05.08'!$G$4:$G$11)+SUMIF('05.08'!$H$4:$H$11,A86,'05.08'!$I$4:$I$11)+SUMIF('05.08'!$J$4:$J$11,A86,'05.08'!$K$4:$K$11)+SUMIF('05.08'!$L$4:$L$11,A86,'05.08'!$M$4:$M$11)+SUMIF('05.08'!$N$4:$N$11,A86,'05.08'!$O$4:$O$11)</f>
        <v>0</v>
      </c>
      <c r="M90" s="15">
        <f>SUMIF('06.08'!$B$4:$B$11,A86,'06.08'!$C$4:$C$11)+SUMIF('06.08'!$D$4:$D$11,A86,'06.08'!$E$4:$E$11)+SUMIF('06.08'!$F$4:$F$11,A86,'06.08'!$G$4:$G$11)+SUMIF('06.08'!$H$4:$H$11,A86,'06.08'!$I$4:$I$11)+SUMIF('06.08'!$J$4:$J$11,A86,'06.08'!$K$4:$K$11)+SUMIF('06.08'!$L$4:$L$11,A86,'06.08'!$M$4:$M$11)+SUMIF('06.08'!$N$4:$N$11,A86,'06.08'!$O$4:$O$11)</f>
        <v>0</v>
      </c>
      <c r="N90" s="15">
        <f>SUMIF('07.08'!$B$4:$B$11,A86,'07.08'!$C$4:$C$11)+SUMIF('07.08'!$D$4:$D$11,A86,'07.08'!$E$4:$E$11)+SUMIF('07.08'!$F$4:$F$11,A86,'07.08'!$G$4:$G$11)+SUMIF('07.08'!$H$4:$H$11,A86,'07.08'!$I$4:$I$11)+SUMIF('07.08'!$J$4:$J$11,A86,'07.08'!$K$4:$K$11)+SUMIF('07.08'!$L$4:$L$11,A86,'07.08'!$M$4:$M$11)+SUMIF('07.08'!$N$4:$N$11,A86,'07.08'!$O$4:$O$11)</f>
        <v>0</v>
      </c>
      <c r="O90" s="15">
        <f>SUMIF('08.08'!$B$4:$B$11,A86,'08.08'!$C$4:$C$11)+SUMIF('08.08'!$D$4:$D$11,A86,'08.08'!$E$4:$E$11)+SUMIF('08.08'!$F$4:$F$11,A86,'08.08'!$G$4:$G$11)+SUMIF('08.08'!$H$4:$H$11,A86,'08.08'!$I$4:$I$11)+SUMIF('08.08'!$J$4:$J$11,A86,'08.08'!$K$4:$K$11)+SUMIF('08.08'!$L$4:$L$11,A86,'08.08'!$M$4:$M$11)+SUMIF('08.08'!$N$4:$N$11,A86,'08.08'!$O$4:$O$11)</f>
        <v>0</v>
      </c>
      <c r="P90" s="15">
        <f>SUMIF('09.08'!$B$4:$B$11,A86,'09.08'!$C$4:$C$11)+SUMIF('09.08'!$D$4:$D$11,A86,'09.08'!$E$4:$E$11)+SUMIF('09.08'!$F$4:$F$11,A86,'09.08'!$G$4:$G$11)+SUMIF('09.08'!$H$4:$H$11,A86,'09.08'!$I$4:$I$11)+SUMIF('09.08'!$J$4:$J$11,A86,'09.08'!$K$4:$K$11)+SUMIF('09.08'!$L$4:$L$11,A86,'09.08'!$M$4:$M$11)+SUMIF('09.08'!$N$4:$N$11,A86,'09.08'!$O$4:$O$11)</f>
        <v>0</v>
      </c>
      <c r="Q90" s="15">
        <f>SUMIF('10.08'!$B$4:$B$11,A86,'10.08'!$C$4:$C$11)+SUMIF('10.08'!$D$4:$D$11,A86,'10.08'!$E$4:$E$11)+SUMIF('10.08'!$F$4:$F$11,A86,'10.08'!$G$4:$G$11)+SUMIF('10.08'!$H$4:$H$11,A86,'10.08'!$I$4:$I$11)+SUMIF('10.08'!$J$4:$J$11,A86,'10.08'!$K$4:$K$11)+SUMIF('10.08'!$L$4:$L$11,A86,'10.08'!$M$4:$M$11)+SUMIF('10.08'!$N$4:$N$11,A86,'10.08'!$O$4:$O$11)</f>
        <v>0</v>
      </c>
      <c r="R90" s="16" t="str">
        <f t="shared" si="14"/>
        <v>#N/A</v>
      </c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>
      <c r="A91" s="39" t="str">
        <f>'список продуктов'!A111</f>
        <v/>
      </c>
      <c r="B91" s="39" t="str">
        <f>'список продуктов'!B111</f>
        <v/>
      </c>
      <c r="C91" s="39" t="str">
        <f>'список продуктов'!C111</f>
        <v/>
      </c>
      <c r="D91" s="39" t="str">
        <f>'список продуктов'!D111</f>
        <v/>
      </c>
      <c r="E91" s="39" t="str">
        <f>'список продуктов'!E111</f>
        <v/>
      </c>
      <c r="F91" s="17" t="str">
        <f t="shared" si="15"/>
        <v>#N/A</v>
      </c>
      <c r="G91" s="18" t="str">
        <f t="shared" si="10"/>
        <v>Введите занчения</v>
      </c>
      <c r="H91" s="42" t="str">
        <f t="shared" si="12"/>
        <v>Введите занчения</v>
      </c>
      <c r="I91" s="14">
        <f>SUMIF('02.08'!$B$4:$B$11,A87,'02.08'!$C$4:$C$11)+SUMIF('02.08'!$D$4:$D$11,A87,'02.08'!$E$4:$E$11)+SUMIF('02.08'!$F$4:$F$11,A87,'02.08'!$G$4:$G$11)+SUMIF('02.08'!$H$4:$H$11,A87,'02.08'!$I$4:$I$11)+SUMIF('02.08'!$J$4:$J$11,A87,'02.08'!$K$4:$K$11)+SUMIF('02.08'!$L$4:$L$11,A87,'02.08'!$M$4:$M$11)+SUMIF('02.08'!$N$4:$N$11,A87,'02.08'!$O$4:$O$11)</f>
        <v>0</v>
      </c>
      <c r="J91" s="15">
        <f>SUMIF('03.08'!$B$4:$B$11,A87,'03.08'!$C$4:$C$11)+SUMIF('03.08'!$D$4:$D$11,A87,'03.08'!$E$4:$E$11)+SUMIF('03.08'!$F$4:$F$11,A87,'03.08'!$G$4:$G$11)+SUMIF('03.08'!$H$4:$H$11,A87,'03.08'!$I$4:$I$11)+SUMIF('03.08'!$J$4:$J$11,A87,'03.08'!$K$4:$K$11)+SUMIF('03.08'!$L$4:$L$11,A87,'03.08'!$M$4:$M$11)+SUMIF('03.08'!$N$4:$N$11,A87,'03.08'!$O$4:$O$11)</f>
        <v>0</v>
      </c>
      <c r="K91" s="15">
        <f>SUMIF('04.08'!$B$4:$B$11,A87,'04.08'!$C$4:$C$11)+SUMIF('04.08'!$D$4:$D$11,A87,'04.08'!$E$4:$E$11)+SUMIF('04.08'!$F$4:$F$11,A87,'04.08'!$G$4:$G$11)+SUMIF('04.08'!$H$4:$H$11,A87,'04.08'!$I$4:$I$11)+SUMIF('04.08'!$J$4:$J$11,A87,'04.08'!$K$4:$K$11)+SUMIF('04.08'!$L$4:$L$11,A87,'04.08'!$M$4:$M$11)+SUMIF('04.08'!$N$4:$N$11,A87,'04.08'!$O$4:$O$11)</f>
        <v>0</v>
      </c>
      <c r="L91" s="15">
        <f>SUMIF('05.08'!$B$4:$B$11,A87,'05.08'!$C$4:$C$11)+SUMIF('05.08'!$D$4:$D$11,A87,'05.08'!$E$4:$E$11)+SUMIF('05.08'!$F$4:$F$11,A87,'05.08'!$G$4:$G$11)+SUMIF('05.08'!$H$4:$H$11,A87,'05.08'!$I$4:$I$11)+SUMIF('05.08'!$J$4:$J$11,A87,'05.08'!$K$4:$K$11)+SUMIF('05.08'!$L$4:$L$11,A87,'05.08'!$M$4:$M$11)+SUMIF('05.08'!$N$4:$N$11,A87,'05.08'!$O$4:$O$11)</f>
        <v>0</v>
      </c>
      <c r="M91" s="15">
        <f>SUMIF('06.08'!$B$4:$B$11,A87,'06.08'!$C$4:$C$11)+SUMIF('06.08'!$D$4:$D$11,A87,'06.08'!$E$4:$E$11)+SUMIF('06.08'!$F$4:$F$11,A87,'06.08'!$G$4:$G$11)+SUMIF('06.08'!$H$4:$H$11,A87,'06.08'!$I$4:$I$11)+SUMIF('06.08'!$J$4:$J$11,A87,'06.08'!$K$4:$K$11)+SUMIF('06.08'!$L$4:$L$11,A87,'06.08'!$M$4:$M$11)+SUMIF('06.08'!$N$4:$N$11,A87,'06.08'!$O$4:$O$11)</f>
        <v>0</v>
      </c>
      <c r="N91" s="15">
        <f>SUMIF('07.08'!$B$4:$B$11,A87,'07.08'!$C$4:$C$11)+SUMIF('07.08'!$D$4:$D$11,A87,'07.08'!$E$4:$E$11)+SUMIF('07.08'!$F$4:$F$11,A87,'07.08'!$G$4:$G$11)+SUMIF('07.08'!$H$4:$H$11,A87,'07.08'!$I$4:$I$11)+SUMIF('07.08'!$J$4:$J$11,A87,'07.08'!$K$4:$K$11)+SUMIF('07.08'!$L$4:$L$11,A87,'07.08'!$M$4:$M$11)+SUMIF('07.08'!$N$4:$N$11,A87,'07.08'!$O$4:$O$11)</f>
        <v>0</v>
      </c>
      <c r="O91" s="15">
        <f>SUMIF('08.08'!$B$4:$B$11,A87,'08.08'!$C$4:$C$11)+SUMIF('08.08'!$D$4:$D$11,A87,'08.08'!$E$4:$E$11)+SUMIF('08.08'!$F$4:$F$11,A87,'08.08'!$G$4:$G$11)+SUMIF('08.08'!$H$4:$H$11,A87,'08.08'!$I$4:$I$11)+SUMIF('08.08'!$J$4:$J$11,A87,'08.08'!$K$4:$K$11)+SUMIF('08.08'!$L$4:$L$11,A87,'08.08'!$M$4:$M$11)+SUMIF('08.08'!$N$4:$N$11,A87,'08.08'!$O$4:$O$11)</f>
        <v>0</v>
      </c>
      <c r="P91" s="15">
        <f>SUMIF('09.08'!$B$4:$B$11,A87,'09.08'!$C$4:$C$11)+SUMIF('09.08'!$D$4:$D$11,A87,'09.08'!$E$4:$E$11)+SUMIF('09.08'!$F$4:$F$11,A87,'09.08'!$G$4:$G$11)+SUMIF('09.08'!$H$4:$H$11,A87,'09.08'!$I$4:$I$11)+SUMIF('09.08'!$J$4:$J$11,A87,'09.08'!$K$4:$K$11)+SUMIF('09.08'!$L$4:$L$11,A87,'09.08'!$M$4:$M$11)+SUMIF('09.08'!$N$4:$N$11,A87,'09.08'!$O$4:$O$11)</f>
        <v>0</v>
      </c>
      <c r="Q91" s="15">
        <f>SUMIF('10.08'!$B$4:$B$11,A87,'10.08'!$C$4:$C$11)+SUMIF('10.08'!$D$4:$D$11,A87,'10.08'!$E$4:$E$11)+SUMIF('10.08'!$F$4:$F$11,A87,'10.08'!$G$4:$G$11)+SUMIF('10.08'!$H$4:$H$11,A87,'10.08'!$I$4:$I$11)+SUMIF('10.08'!$J$4:$J$11,A87,'10.08'!$K$4:$K$11)+SUMIF('10.08'!$L$4:$L$11,A87,'10.08'!$M$4:$M$11)+SUMIF('10.08'!$N$4:$N$11,A87,'10.08'!$O$4:$O$11)</f>
        <v>0</v>
      </c>
      <c r="R91" s="16" t="str">
        <f t="shared" si="14"/>
        <v>#N/A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</row>
    <row r="92">
      <c r="A92" s="39" t="str">
        <f>'список продуктов'!A112</f>
        <v/>
      </c>
      <c r="B92" s="39" t="str">
        <f>'список продуктов'!B112</f>
        <v/>
      </c>
      <c r="C92" s="39" t="str">
        <f>'список продуктов'!C112</f>
        <v/>
      </c>
      <c r="D92" s="39" t="str">
        <f>'список продуктов'!D112</f>
        <v/>
      </c>
      <c r="E92" s="39" t="str">
        <f>'список продуктов'!E112</f>
        <v/>
      </c>
      <c r="F92" s="17" t="str">
        <f t="shared" si="15"/>
        <v>#N/A</v>
      </c>
      <c r="G92" s="18" t="str">
        <f t="shared" si="10"/>
        <v>Введите занчения</v>
      </c>
      <c r="H92" s="42" t="str">
        <f t="shared" si="12"/>
        <v>Введите занчения</v>
      </c>
      <c r="I92" s="14">
        <f>SUMIF('02.08'!$B$4:$B$11,A88,'02.08'!$C$4:$C$11)+SUMIF('02.08'!$D$4:$D$11,A88,'02.08'!$E$4:$E$11)+SUMIF('02.08'!$F$4:$F$11,A88,'02.08'!$G$4:$G$11)+SUMIF('02.08'!$H$4:$H$11,A88,'02.08'!$I$4:$I$11)+SUMIF('02.08'!$J$4:$J$11,A88,'02.08'!$K$4:$K$11)+SUMIF('02.08'!$L$4:$L$11,A88,'02.08'!$M$4:$M$11)+SUMIF('02.08'!$N$4:$N$11,A88,'02.08'!$O$4:$O$11)</f>
        <v>0</v>
      </c>
      <c r="J92" s="15">
        <f>SUMIF('03.08'!$B$4:$B$11,A88,'03.08'!$C$4:$C$11)+SUMIF('03.08'!$D$4:$D$11,A88,'03.08'!$E$4:$E$11)+SUMIF('03.08'!$F$4:$F$11,A88,'03.08'!$G$4:$G$11)+SUMIF('03.08'!$H$4:$H$11,A88,'03.08'!$I$4:$I$11)+SUMIF('03.08'!$J$4:$J$11,A88,'03.08'!$K$4:$K$11)+SUMIF('03.08'!$L$4:$L$11,A88,'03.08'!$M$4:$M$11)+SUMIF('03.08'!$N$4:$N$11,A88,'03.08'!$O$4:$O$11)</f>
        <v>0</v>
      </c>
      <c r="K92" s="15">
        <f>SUMIF('04.08'!$B$4:$B$11,A88,'04.08'!$C$4:$C$11)+SUMIF('04.08'!$D$4:$D$11,A88,'04.08'!$E$4:$E$11)+SUMIF('04.08'!$F$4:$F$11,A88,'04.08'!$G$4:$G$11)+SUMIF('04.08'!$H$4:$H$11,A88,'04.08'!$I$4:$I$11)+SUMIF('04.08'!$J$4:$J$11,A88,'04.08'!$K$4:$K$11)+SUMIF('04.08'!$L$4:$L$11,A88,'04.08'!$M$4:$M$11)+SUMIF('04.08'!$N$4:$N$11,A88,'04.08'!$O$4:$O$11)</f>
        <v>0</v>
      </c>
      <c r="L92" s="15">
        <f>SUMIF('05.08'!$B$4:$B$11,A88,'05.08'!$C$4:$C$11)+SUMIF('05.08'!$D$4:$D$11,A88,'05.08'!$E$4:$E$11)+SUMIF('05.08'!$F$4:$F$11,A88,'05.08'!$G$4:$G$11)+SUMIF('05.08'!$H$4:$H$11,A88,'05.08'!$I$4:$I$11)+SUMIF('05.08'!$J$4:$J$11,A88,'05.08'!$K$4:$K$11)+SUMIF('05.08'!$L$4:$L$11,A88,'05.08'!$M$4:$M$11)+SUMIF('05.08'!$N$4:$N$11,A88,'05.08'!$O$4:$O$11)</f>
        <v>0</v>
      </c>
      <c r="M92" s="15">
        <f>SUMIF('06.08'!$B$4:$B$11,A88,'06.08'!$C$4:$C$11)+SUMIF('06.08'!$D$4:$D$11,A88,'06.08'!$E$4:$E$11)+SUMIF('06.08'!$F$4:$F$11,A88,'06.08'!$G$4:$G$11)+SUMIF('06.08'!$H$4:$H$11,A88,'06.08'!$I$4:$I$11)+SUMIF('06.08'!$J$4:$J$11,A88,'06.08'!$K$4:$K$11)+SUMIF('06.08'!$L$4:$L$11,A88,'06.08'!$M$4:$M$11)+SUMIF('06.08'!$N$4:$N$11,A88,'06.08'!$O$4:$O$11)</f>
        <v>0</v>
      </c>
      <c r="N92" s="15">
        <f>SUMIF('07.08'!$B$4:$B$11,A88,'07.08'!$C$4:$C$11)+SUMIF('07.08'!$D$4:$D$11,A88,'07.08'!$E$4:$E$11)+SUMIF('07.08'!$F$4:$F$11,A88,'07.08'!$G$4:$G$11)+SUMIF('07.08'!$H$4:$H$11,A88,'07.08'!$I$4:$I$11)+SUMIF('07.08'!$J$4:$J$11,A88,'07.08'!$K$4:$K$11)+SUMIF('07.08'!$L$4:$L$11,A88,'07.08'!$M$4:$M$11)+SUMIF('07.08'!$N$4:$N$11,A88,'07.08'!$O$4:$O$11)</f>
        <v>0</v>
      </c>
      <c r="O92" s="15">
        <f>SUMIF('08.08'!$B$4:$B$11,A88,'08.08'!$C$4:$C$11)+SUMIF('08.08'!$D$4:$D$11,A88,'08.08'!$E$4:$E$11)+SUMIF('08.08'!$F$4:$F$11,A88,'08.08'!$G$4:$G$11)+SUMIF('08.08'!$H$4:$H$11,A88,'08.08'!$I$4:$I$11)+SUMIF('08.08'!$J$4:$J$11,A88,'08.08'!$K$4:$K$11)+SUMIF('08.08'!$L$4:$L$11,A88,'08.08'!$M$4:$M$11)+SUMIF('08.08'!$N$4:$N$11,A88,'08.08'!$O$4:$O$11)</f>
        <v>0</v>
      </c>
      <c r="P92" s="15">
        <f>SUMIF('09.08'!$B$4:$B$11,A88,'09.08'!$C$4:$C$11)+SUMIF('09.08'!$D$4:$D$11,A88,'09.08'!$E$4:$E$11)+SUMIF('09.08'!$F$4:$F$11,A88,'09.08'!$G$4:$G$11)+SUMIF('09.08'!$H$4:$H$11,A88,'09.08'!$I$4:$I$11)+SUMIF('09.08'!$J$4:$J$11,A88,'09.08'!$K$4:$K$11)+SUMIF('09.08'!$L$4:$L$11,A88,'09.08'!$M$4:$M$11)+SUMIF('09.08'!$N$4:$N$11,A88,'09.08'!$O$4:$O$11)</f>
        <v>0</v>
      </c>
      <c r="Q92" s="15">
        <f>SUMIF('10.08'!$B$4:$B$11,A88,'10.08'!$C$4:$C$11)+SUMIF('10.08'!$D$4:$D$11,A88,'10.08'!$E$4:$E$11)+SUMIF('10.08'!$F$4:$F$11,A88,'10.08'!$G$4:$G$11)+SUMIF('10.08'!$H$4:$H$11,A88,'10.08'!$I$4:$I$11)+SUMIF('10.08'!$J$4:$J$11,A88,'10.08'!$K$4:$K$11)+SUMIF('10.08'!$L$4:$L$11,A88,'10.08'!$M$4:$M$11)+SUMIF('10.08'!$N$4:$N$11,A88,'10.08'!$O$4:$O$11)</f>
        <v>0</v>
      </c>
      <c r="R92" s="16" t="str">
        <f t="shared" si="14"/>
        <v>#N/A</v>
      </c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</row>
    <row r="93">
      <c r="A93" s="39" t="str">
        <f>'список продуктов'!A113</f>
        <v/>
      </c>
      <c r="B93" s="39" t="str">
        <f>'список продуктов'!B113</f>
        <v/>
      </c>
      <c r="C93" s="39" t="str">
        <f>'список продуктов'!C113</f>
        <v/>
      </c>
      <c r="D93" s="39" t="str">
        <f>'список продуктов'!D113</f>
        <v/>
      </c>
      <c r="E93" s="39" t="str">
        <f>'список продуктов'!E113</f>
        <v/>
      </c>
      <c r="F93" s="44" t="str">
        <f t="shared" si="15"/>
        <v>#N/A</v>
      </c>
      <c r="G93" s="45" t="str">
        <f t="shared" si="10"/>
        <v>Введите занчения</v>
      </c>
      <c r="H93" s="46" t="str">
        <f t="shared" si="12"/>
        <v>Введите занчения</v>
      </c>
      <c r="I93" s="14">
        <f>SUMIF('02.08'!$B$4:$B$11,A89,'02.08'!$C$4:$C$11)+SUMIF('02.08'!$D$4:$D$11,A89,'02.08'!$E$4:$E$11)+SUMIF('02.08'!$F$4:$F$11,A89,'02.08'!$G$4:$G$11)+SUMIF('02.08'!$H$4:$H$11,A89,'02.08'!$I$4:$I$11)+SUMIF('02.08'!$J$4:$J$11,A89,'02.08'!$K$4:$K$11)+SUMIF('02.08'!$L$4:$L$11,A89,'02.08'!$M$4:$M$11)+SUMIF('02.08'!$N$4:$N$11,A89,'02.08'!$O$4:$O$11)</f>
        <v>0</v>
      </c>
      <c r="J93" s="15">
        <f>SUMIF('03.08'!$B$4:$B$11,A89,'03.08'!$C$4:$C$11)+SUMIF('03.08'!$D$4:$D$11,A89,'03.08'!$E$4:$E$11)+SUMIF('03.08'!$F$4:$F$11,A89,'03.08'!$G$4:$G$11)+SUMIF('03.08'!$H$4:$H$11,A89,'03.08'!$I$4:$I$11)+SUMIF('03.08'!$J$4:$J$11,A89,'03.08'!$K$4:$K$11)+SUMIF('03.08'!$L$4:$L$11,A89,'03.08'!$M$4:$M$11)+SUMIF('03.08'!$N$4:$N$11,A89,'03.08'!$O$4:$O$11)</f>
        <v>0</v>
      </c>
      <c r="K93" s="15">
        <f>SUMIF('04.08'!$B$4:$B$11,A89,'04.08'!$C$4:$C$11)+SUMIF('04.08'!$D$4:$D$11,A89,'04.08'!$E$4:$E$11)+SUMIF('04.08'!$F$4:$F$11,A89,'04.08'!$G$4:$G$11)+SUMIF('04.08'!$H$4:$H$11,A89,'04.08'!$I$4:$I$11)+SUMIF('04.08'!$J$4:$J$11,A89,'04.08'!$K$4:$K$11)+SUMIF('04.08'!$L$4:$L$11,A89,'04.08'!$M$4:$M$11)+SUMIF('04.08'!$N$4:$N$11,A89,'04.08'!$O$4:$O$11)</f>
        <v>0</v>
      </c>
      <c r="L93" s="15">
        <f>SUMIF('05.08'!$B$4:$B$11,A89,'05.08'!$C$4:$C$11)+SUMIF('05.08'!$D$4:$D$11,A89,'05.08'!$E$4:$E$11)+SUMIF('05.08'!$F$4:$F$11,A89,'05.08'!$G$4:$G$11)+SUMIF('05.08'!$H$4:$H$11,A89,'05.08'!$I$4:$I$11)+SUMIF('05.08'!$J$4:$J$11,A89,'05.08'!$K$4:$K$11)+SUMIF('05.08'!$L$4:$L$11,A89,'05.08'!$M$4:$M$11)+SUMIF('05.08'!$N$4:$N$11,A89,'05.08'!$O$4:$O$11)</f>
        <v>0</v>
      </c>
      <c r="M93" s="15">
        <f>SUMIF('06.08'!$B$4:$B$11,A89,'06.08'!$C$4:$C$11)+SUMIF('06.08'!$D$4:$D$11,A89,'06.08'!$E$4:$E$11)+SUMIF('06.08'!$F$4:$F$11,A89,'06.08'!$G$4:$G$11)+SUMIF('06.08'!$H$4:$H$11,A89,'06.08'!$I$4:$I$11)+SUMIF('06.08'!$J$4:$J$11,A89,'06.08'!$K$4:$K$11)+SUMIF('06.08'!$L$4:$L$11,A89,'06.08'!$M$4:$M$11)+SUMIF('06.08'!$N$4:$N$11,A89,'06.08'!$O$4:$O$11)</f>
        <v>0</v>
      </c>
      <c r="N93" s="15">
        <f>SUMIF('07.08'!$B$4:$B$11,A89,'07.08'!$C$4:$C$11)+SUMIF('07.08'!$D$4:$D$11,A89,'07.08'!$E$4:$E$11)+SUMIF('07.08'!$F$4:$F$11,A89,'07.08'!$G$4:$G$11)+SUMIF('07.08'!$H$4:$H$11,A89,'07.08'!$I$4:$I$11)+SUMIF('07.08'!$J$4:$J$11,A89,'07.08'!$K$4:$K$11)+SUMIF('07.08'!$L$4:$L$11,A89,'07.08'!$M$4:$M$11)+SUMIF('07.08'!$N$4:$N$11,A89,'07.08'!$O$4:$O$11)</f>
        <v>0</v>
      </c>
      <c r="O93" s="15">
        <f>SUMIF('08.08'!$B$4:$B$11,A89,'08.08'!$C$4:$C$11)+SUMIF('08.08'!$D$4:$D$11,A89,'08.08'!$E$4:$E$11)+SUMIF('08.08'!$F$4:$F$11,A89,'08.08'!$G$4:$G$11)+SUMIF('08.08'!$H$4:$H$11,A89,'08.08'!$I$4:$I$11)+SUMIF('08.08'!$J$4:$J$11,A89,'08.08'!$K$4:$K$11)+SUMIF('08.08'!$L$4:$L$11,A89,'08.08'!$M$4:$M$11)+SUMIF('08.08'!$N$4:$N$11,A89,'08.08'!$O$4:$O$11)</f>
        <v>0</v>
      </c>
      <c r="P93" s="15">
        <f>SUMIF('09.08'!$B$4:$B$11,A89,'09.08'!$C$4:$C$11)+SUMIF('09.08'!$D$4:$D$11,A89,'09.08'!$E$4:$E$11)+SUMIF('09.08'!$F$4:$F$11,A89,'09.08'!$G$4:$G$11)+SUMIF('09.08'!$H$4:$H$11,A89,'09.08'!$I$4:$I$11)+SUMIF('09.08'!$J$4:$J$11,A89,'09.08'!$K$4:$K$11)+SUMIF('09.08'!$L$4:$L$11,A89,'09.08'!$M$4:$M$11)+SUMIF('09.08'!$N$4:$N$11,A89,'09.08'!$O$4:$O$11)</f>
        <v>0</v>
      </c>
      <c r="Q93" s="15">
        <f>SUMIF('10.08'!$B$4:$B$11,A89,'10.08'!$C$4:$C$11)+SUMIF('10.08'!$D$4:$D$11,A89,'10.08'!$E$4:$E$11)+SUMIF('10.08'!$F$4:$F$11,A89,'10.08'!$G$4:$G$11)+SUMIF('10.08'!$H$4:$H$11,A89,'10.08'!$I$4:$I$11)+SUMIF('10.08'!$J$4:$J$11,A89,'10.08'!$K$4:$K$11)+SUMIF('10.08'!$L$4:$L$11,A89,'10.08'!$M$4:$M$11)+SUMIF('10.08'!$N$4:$N$11,A89,'10.08'!$O$4:$O$11)</f>
        <v>0</v>
      </c>
      <c r="R93" s="16" t="str">
        <f t="shared" si="14"/>
        <v>#N/A</v>
      </c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</row>
    <row r="94">
      <c r="A94" s="39" t="str">
        <f>'список продуктов'!A114</f>
        <v/>
      </c>
      <c r="B94" s="39" t="str">
        <f>'список продуктов'!B114</f>
        <v/>
      </c>
      <c r="C94" s="39" t="str">
        <f>'список продуктов'!C114</f>
        <v/>
      </c>
      <c r="D94" s="39" t="str">
        <f>'список продуктов'!D114</f>
        <v/>
      </c>
      <c r="E94" s="39" t="str">
        <f>'список продуктов'!E114</f>
        <v/>
      </c>
      <c r="F94" s="47" t="str">
        <f t="shared" si="15"/>
        <v>#N/A</v>
      </c>
      <c r="G94" s="47" t="str">
        <f t="shared" si="10"/>
        <v>Введите занчения</v>
      </c>
      <c r="H94" s="48" t="str">
        <f t="shared" si="12"/>
        <v>Введите занчения</v>
      </c>
      <c r="I94" s="14">
        <f>SUMIF('02.08'!$B$4:$B$11,A90,'02.08'!$C$4:$C$11)+SUMIF('02.08'!$D$4:$D$11,A90,'02.08'!$E$4:$E$11)+SUMIF('02.08'!$F$4:$F$11,A90,'02.08'!$G$4:$G$11)+SUMIF('02.08'!$H$4:$H$11,A90,'02.08'!$I$4:$I$11)+SUMIF('02.08'!$J$4:$J$11,A90,'02.08'!$K$4:$K$11)+SUMIF('02.08'!$L$4:$L$11,A90,'02.08'!$M$4:$M$11)+SUMIF('02.08'!$N$4:$N$11,A90,'02.08'!$O$4:$O$11)</f>
        <v>0</v>
      </c>
      <c r="J94" s="15">
        <f>SUMIF('03.08'!$B$4:$B$11,A90,'03.08'!$C$4:$C$11)+SUMIF('03.08'!$D$4:$D$11,A90,'03.08'!$E$4:$E$11)+SUMIF('03.08'!$F$4:$F$11,A90,'03.08'!$G$4:$G$11)+SUMIF('03.08'!$H$4:$H$11,A90,'03.08'!$I$4:$I$11)+SUMIF('03.08'!$J$4:$J$11,A90,'03.08'!$K$4:$K$11)+SUMIF('03.08'!$L$4:$L$11,A90,'03.08'!$M$4:$M$11)+SUMIF('03.08'!$N$4:$N$11,A90,'03.08'!$O$4:$O$11)</f>
        <v>0</v>
      </c>
      <c r="K94" s="15">
        <f>SUMIF('04.08'!$B$4:$B$11,A90,'04.08'!$C$4:$C$11)+SUMIF('04.08'!$D$4:$D$11,A90,'04.08'!$E$4:$E$11)+SUMIF('04.08'!$F$4:$F$11,A90,'04.08'!$G$4:$G$11)+SUMIF('04.08'!$H$4:$H$11,A90,'04.08'!$I$4:$I$11)+SUMIF('04.08'!$J$4:$J$11,A90,'04.08'!$K$4:$K$11)+SUMIF('04.08'!$L$4:$L$11,A90,'04.08'!$M$4:$M$11)+SUMIF('04.08'!$N$4:$N$11,A90,'04.08'!$O$4:$O$11)</f>
        <v>0</v>
      </c>
      <c r="L94" s="15">
        <f>SUMIF('05.08'!$B$4:$B$11,A90,'05.08'!$C$4:$C$11)+SUMIF('05.08'!$D$4:$D$11,A90,'05.08'!$E$4:$E$11)+SUMIF('05.08'!$F$4:$F$11,A90,'05.08'!$G$4:$G$11)+SUMIF('05.08'!$H$4:$H$11,A90,'05.08'!$I$4:$I$11)+SUMIF('05.08'!$J$4:$J$11,A90,'05.08'!$K$4:$K$11)+SUMIF('05.08'!$L$4:$L$11,A90,'05.08'!$M$4:$M$11)+SUMIF('05.08'!$N$4:$N$11,A90,'05.08'!$O$4:$O$11)</f>
        <v>0</v>
      </c>
      <c r="M94" s="15">
        <f>SUMIF('06.08'!$B$4:$B$11,A90,'06.08'!$C$4:$C$11)+SUMIF('06.08'!$D$4:$D$11,A90,'06.08'!$E$4:$E$11)+SUMIF('06.08'!$F$4:$F$11,A90,'06.08'!$G$4:$G$11)+SUMIF('06.08'!$H$4:$H$11,A90,'06.08'!$I$4:$I$11)+SUMIF('06.08'!$J$4:$J$11,A90,'06.08'!$K$4:$K$11)+SUMIF('06.08'!$L$4:$L$11,A90,'06.08'!$M$4:$M$11)+SUMIF('06.08'!$N$4:$N$11,A90,'06.08'!$O$4:$O$11)</f>
        <v>0</v>
      </c>
      <c r="N94" s="15">
        <f>SUMIF('07.08'!$B$4:$B$11,A90,'07.08'!$C$4:$C$11)+SUMIF('07.08'!$D$4:$D$11,A90,'07.08'!$E$4:$E$11)+SUMIF('07.08'!$F$4:$F$11,A90,'07.08'!$G$4:$G$11)+SUMIF('07.08'!$H$4:$H$11,A90,'07.08'!$I$4:$I$11)+SUMIF('07.08'!$J$4:$J$11,A90,'07.08'!$K$4:$K$11)+SUMIF('07.08'!$L$4:$L$11,A90,'07.08'!$M$4:$M$11)+SUMIF('07.08'!$N$4:$N$11,A90,'07.08'!$O$4:$O$11)</f>
        <v>0</v>
      </c>
      <c r="O94" s="15">
        <f>SUMIF('08.08'!$B$4:$B$11,A90,'08.08'!$C$4:$C$11)+SUMIF('08.08'!$D$4:$D$11,A90,'08.08'!$E$4:$E$11)+SUMIF('08.08'!$F$4:$F$11,A90,'08.08'!$G$4:$G$11)+SUMIF('08.08'!$H$4:$H$11,A90,'08.08'!$I$4:$I$11)+SUMIF('08.08'!$J$4:$J$11,A90,'08.08'!$K$4:$K$11)+SUMIF('08.08'!$L$4:$L$11,A90,'08.08'!$M$4:$M$11)+SUMIF('08.08'!$N$4:$N$11,A90,'08.08'!$O$4:$O$11)</f>
        <v>0</v>
      </c>
      <c r="P94" s="15">
        <f>SUMIF('09.08'!$B$4:$B$11,A90,'09.08'!$C$4:$C$11)+SUMIF('09.08'!$D$4:$D$11,A90,'09.08'!$E$4:$E$11)+SUMIF('09.08'!$F$4:$F$11,A90,'09.08'!$G$4:$G$11)+SUMIF('09.08'!$H$4:$H$11,A90,'09.08'!$I$4:$I$11)+SUMIF('09.08'!$J$4:$J$11,A90,'09.08'!$K$4:$K$11)+SUMIF('09.08'!$L$4:$L$11,A90,'09.08'!$M$4:$M$11)+SUMIF('09.08'!$N$4:$N$11,A90,'09.08'!$O$4:$O$11)</f>
        <v>0</v>
      </c>
      <c r="Q94" s="15">
        <f>SUMIF('10.08'!$B$4:$B$11,A90,'10.08'!$C$4:$C$11)+SUMIF('10.08'!$D$4:$D$11,A90,'10.08'!$E$4:$E$11)+SUMIF('10.08'!$F$4:$F$11,A90,'10.08'!$G$4:$G$11)+SUMIF('10.08'!$H$4:$H$11,A90,'10.08'!$I$4:$I$11)+SUMIF('10.08'!$J$4:$J$11,A90,'10.08'!$K$4:$K$11)+SUMIF('10.08'!$L$4:$L$11,A90,'10.08'!$M$4:$M$11)+SUMIF('10.08'!$N$4:$N$11,A90,'10.08'!$O$4:$O$11)</f>
        <v>0</v>
      </c>
      <c r="R94" s="16" t="str">
        <f t="shared" si="14"/>
        <v>#N/A</v>
      </c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>
      <c r="A95" s="39" t="str">
        <f>'список продуктов'!A115</f>
        <v/>
      </c>
      <c r="B95" s="39" t="str">
        <f>'список продуктов'!B115</f>
        <v/>
      </c>
      <c r="C95" s="39" t="str">
        <f>'список продуктов'!C115</f>
        <v/>
      </c>
      <c r="D95" s="39" t="str">
        <f>'список продуктов'!D115</f>
        <v/>
      </c>
      <c r="E95" s="39" t="str">
        <f>'список продуктов'!E115</f>
        <v/>
      </c>
      <c r="F95" s="47" t="str">
        <f t="shared" si="15"/>
        <v>#N/A</v>
      </c>
      <c r="G95" s="47" t="str">
        <f t="shared" si="10"/>
        <v>Введите занчения</v>
      </c>
      <c r="H95" s="48" t="str">
        <f t="shared" si="12"/>
        <v>Введите занчения</v>
      </c>
      <c r="I95" s="14">
        <f>SUMIF('02.08'!$B$4:$B$11,A91,'02.08'!$C$4:$C$11)+SUMIF('02.08'!$D$4:$D$11,A91,'02.08'!$E$4:$E$11)+SUMIF('02.08'!$F$4:$F$11,A91,'02.08'!$G$4:$G$11)+SUMIF('02.08'!$H$4:$H$11,A91,'02.08'!$I$4:$I$11)+SUMIF('02.08'!$J$4:$J$11,A91,'02.08'!$K$4:$K$11)+SUMIF('02.08'!$L$4:$L$11,A91,'02.08'!$M$4:$M$11)+SUMIF('02.08'!$N$4:$N$11,A91,'02.08'!$O$4:$O$11)</f>
        <v>0</v>
      </c>
      <c r="J95" s="15">
        <f>SUMIF('03.08'!$B$4:$B$11,A91,'03.08'!$C$4:$C$11)+SUMIF('03.08'!$D$4:$D$11,A91,'03.08'!$E$4:$E$11)+SUMIF('03.08'!$F$4:$F$11,A91,'03.08'!$G$4:$G$11)+SUMIF('03.08'!$H$4:$H$11,A91,'03.08'!$I$4:$I$11)+SUMIF('03.08'!$J$4:$J$11,A91,'03.08'!$K$4:$K$11)+SUMIF('03.08'!$L$4:$L$11,A91,'03.08'!$M$4:$M$11)+SUMIF('03.08'!$N$4:$N$11,A91,'03.08'!$O$4:$O$11)</f>
        <v>0</v>
      </c>
      <c r="K95" s="15">
        <f>SUMIF('04.08'!$B$4:$B$11,A91,'04.08'!$C$4:$C$11)+SUMIF('04.08'!$D$4:$D$11,A91,'04.08'!$E$4:$E$11)+SUMIF('04.08'!$F$4:$F$11,A91,'04.08'!$G$4:$G$11)+SUMIF('04.08'!$H$4:$H$11,A91,'04.08'!$I$4:$I$11)+SUMIF('04.08'!$J$4:$J$11,A91,'04.08'!$K$4:$K$11)+SUMIF('04.08'!$L$4:$L$11,A91,'04.08'!$M$4:$M$11)+SUMIF('04.08'!$N$4:$N$11,A91,'04.08'!$O$4:$O$11)</f>
        <v>0</v>
      </c>
      <c r="L95" s="15">
        <f>SUMIF('05.08'!$B$4:$B$11,A91,'05.08'!$C$4:$C$11)+SUMIF('05.08'!$D$4:$D$11,A91,'05.08'!$E$4:$E$11)+SUMIF('05.08'!$F$4:$F$11,A91,'05.08'!$G$4:$G$11)+SUMIF('05.08'!$H$4:$H$11,A91,'05.08'!$I$4:$I$11)+SUMIF('05.08'!$J$4:$J$11,A91,'05.08'!$K$4:$K$11)+SUMIF('05.08'!$L$4:$L$11,A91,'05.08'!$M$4:$M$11)+SUMIF('05.08'!$N$4:$N$11,A91,'05.08'!$O$4:$O$11)</f>
        <v>0</v>
      </c>
      <c r="M95" s="15">
        <f>SUMIF('06.08'!$B$4:$B$11,A91,'06.08'!$C$4:$C$11)+SUMIF('06.08'!$D$4:$D$11,A91,'06.08'!$E$4:$E$11)+SUMIF('06.08'!$F$4:$F$11,A91,'06.08'!$G$4:$G$11)+SUMIF('06.08'!$H$4:$H$11,A91,'06.08'!$I$4:$I$11)+SUMIF('06.08'!$J$4:$J$11,A91,'06.08'!$K$4:$K$11)+SUMIF('06.08'!$L$4:$L$11,A91,'06.08'!$M$4:$M$11)+SUMIF('06.08'!$N$4:$N$11,A91,'06.08'!$O$4:$O$11)</f>
        <v>0</v>
      </c>
      <c r="N95" s="15">
        <f>SUMIF('07.08'!$B$4:$B$11,A91,'07.08'!$C$4:$C$11)+SUMIF('07.08'!$D$4:$D$11,A91,'07.08'!$E$4:$E$11)+SUMIF('07.08'!$F$4:$F$11,A91,'07.08'!$G$4:$G$11)+SUMIF('07.08'!$H$4:$H$11,A91,'07.08'!$I$4:$I$11)+SUMIF('07.08'!$J$4:$J$11,A91,'07.08'!$K$4:$K$11)+SUMIF('07.08'!$L$4:$L$11,A91,'07.08'!$M$4:$M$11)+SUMIF('07.08'!$N$4:$N$11,A91,'07.08'!$O$4:$O$11)</f>
        <v>0</v>
      </c>
      <c r="O95" s="15">
        <f>SUMIF('08.08'!$B$4:$B$11,A91,'08.08'!$C$4:$C$11)+SUMIF('08.08'!$D$4:$D$11,A91,'08.08'!$E$4:$E$11)+SUMIF('08.08'!$F$4:$F$11,A91,'08.08'!$G$4:$G$11)+SUMIF('08.08'!$H$4:$H$11,A91,'08.08'!$I$4:$I$11)+SUMIF('08.08'!$J$4:$J$11,A91,'08.08'!$K$4:$K$11)+SUMIF('08.08'!$L$4:$L$11,A91,'08.08'!$M$4:$M$11)+SUMIF('08.08'!$N$4:$N$11,A91,'08.08'!$O$4:$O$11)</f>
        <v>0</v>
      </c>
      <c r="P95" s="15">
        <f>SUMIF('09.08'!$B$4:$B$11,A91,'09.08'!$C$4:$C$11)+SUMIF('09.08'!$D$4:$D$11,A91,'09.08'!$E$4:$E$11)+SUMIF('09.08'!$F$4:$F$11,A91,'09.08'!$G$4:$G$11)+SUMIF('09.08'!$H$4:$H$11,A91,'09.08'!$I$4:$I$11)+SUMIF('09.08'!$J$4:$J$11,A91,'09.08'!$K$4:$K$11)+SUMIF('09.08'!$L$4:$L$11,A91,'09.08'!$M$4:$M$11)+SUMIF('09.08'!$N$4:$N$11,A91,'09.08'!$O$4:$O$11)</f>
        <v>0</v>
      </c>
      <c r="Q95" s="15">
        <f>SUMIF('10.08'!$B$4:$B$11,A91,'10.08'!$C$4:$C$11)+SUMIF('10.08'!$D$4:$D$11,A91,'10.08'!$E$4:$E$11)+SUMIF('10.08'!$F$4:$F$11,A91,'10.08'!$G$4:$G$11)+SUMIF('10.08'!$H$4:$H$11,A91,'10.08'!$I$4:$I$11)+SUMIF('10.08'!$J$4:$J$11,A91,'10.08'!$K$4:$K$11)+SUMIF('10.08'!$L$4:$L$11,A91,'10.08'!$M$4:$M$11)+SUMIF('10.08'!$N$4:$N$11,A91,'10.08'!$O$4:$O$11)</f>
        <v>0</v>
      </c>
      <c r="R95" s="16" t="str">
        <f t="shared" si="14"/>
        <v>#N/A</v>
      </c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</row>
    <row r="96">
      <c r="A96" s="39" t="str">
        <f>'список продуктов'!A116</f>
        <v/>
      </c>
      <c r="B96" s="39" t="str">
        <f>'список продуктов'!B116</f>
        <v/>
      </c>
      <c r="C96" s="39" t="str">
        <f>'список продуктов'!C116</f>
        <v/>
      </c>
      <c r="D96" s="39" t="str">
        <f>'список продуктов'!D116</f>
        <v/>
      </c>
      <c r="E96" s="39" t="str">
        <f>'список продуктов'!E116</f>
        <v/>
      </c>
      <c r="F96" s="47" t="str">
        <f t="shared" si="15"/>
        <v>#N/A</v>
      </c>
      <c r="G96" s="47" t="str">
        <f t="shared" si="10"/>
        <v>Введите занчения</v>
      </c>
      <c r="H96" s="48" t="str">
        <f t="shared" si="12"/>
        <v>Введите занчения</v>
      </c>
      <c r="I96" s="14">
        <f>SUMIF('02.08'!$B$4:$B$11,A92,'02.08'!$C$4:$C$11)+SUMIF('02.08'!$D$4:$D$11,A92,'02.08'!$E$4:$E$11)+SUMIF('02.08'!$F$4:$F$11,A92,'02.08'!$G$4:$G$11)+SUMIF('02.08'!$H$4:$H$11,A92,'02.08'!$I$4:$I$11)+SUMIF('02.08'!$J$4:$J$11,A92,'02.08'!$K$4:$K$11)+SUMIF('02.08'!$L$4:$L$11,A92,'02.08'!$M$4:$M$11)+SUMIF('02.08'!$N$4:$N$11,A92,'02.08'!$O$4:$O$11)</f>
        <v>0</v>
      </c>
      <c r="J96" s="15">
        <f>SUMIF('03.08'!$B$4:$B$11,A92,'03.08'!$C$4:$C$11)+SUMIF('03.08'!$D$4:$D$11,A92,'03.08'!$E$4:$E$11)+SUMIF('03.08'!$F$4:$F$11,A92,'03.08'!$G$4:$G$11)+SUMIF('03.08'!$H$4:$H$11,A92,'03.08'!$I$4:$I$11)+SUMIF('03.08'!$J$4:$J$11,A92,'03.08'!$K$4:$K$11)+SUMIF('03.08'!$L$4:$L$11,A92,'03.08'!$M$4:$M$11)+SUMIF('03.08'!$N$4:$N$11,A92,'03.08'!$O$4:$O$11)</f>
        <v>0</v>
      </c>
      <c r="K96" s="15">
        <f>SUMIF('04.08'!$B$4:$B$11,A92,'04.08'!$C$4:$C$11)+SUMIF('04.08'!$D$4:$D$11,A92,'04.08'!$E$4:$E$11)+SUMIF('04.08'!$F$4:$F$11,A92,'04.08'!$G$4:$G$11)+SUMIF('04.08'!$H$4:$H$11,A92,'04.08'!$I$4:$I$11)+SUMIF('04.08'!$J$4:$J$11,A92,'04.08'!$K$4:$K$11)+SUMIF('04.08'!$L$4:$L$11,A92,'04.08'!$M$4:$M$11)+SUMIF('04.08'!$N$4:$N$11,A92,'04.08'!$O$4:$O$11)</f>
        <v>0</v>
      </c>
      <c r="L96" s="15">
        <f>SUMIF('05.08'!$B$4:$B$11,A92,'05.08'!$C$4:$C$11)+SUMIF('05.08'!$D$4:$D$11,A92,'05.08'!$E$4:$E$11)+SUMIF('05.08'!$F$4:$F$11,A92,'05.08'!$G$4:$G$11)+SUMIF('05.08'!$H$4:$H$11,A92,'05.08'!$I$4:$I$11)+SUMIF('05.08'!$J$4:$J$11,A92,'05.08'!$K$4:$K$11)+SUMIF('05.08'!$L$4:$L$11,A92,'05.08'!$M$4:$M$11)+SUMIF('05.08'!$N$4:$N$11,A92,'05.08'!$O$4:$O$11)</f>
        <v>0</v>
      </c>
      <c r="M96" s="15">
        <f>SUMIF('06.08'!$B$4:$B$11,A92,'06.08'!$C$4:$C$11)+SUMIF('06.08'!$D$4:$D$11,A92,'06.08'!$E$4:$E$11)+SUMIF('06.08'!$F$4:$F$11,A92,'06.08'!$G$4:$G$11)+SUMIF('06.08'!$H$4:$H$11,A92,'06.08'!$I$4:$I$11)+SUMIF('06.08'!$J$4:$J$11,A92,'06.08'!$K$4:$K$11)+SUMIF('06.08'!$L$4:$L$11,A92,'06.08'!$M$4:$M$11)+SUMIF('06.08'!$N$4:$N$11,A92,'06.08'!$O$4:$O$11)</f>
        <v>0</v>
      </c>
      <c r="N96" s="15">
        <f>SUMIF('07.08'!$B$4:$B$11,A92,'07.08'!$C$4:$C$11)+SUMIF('07.08'!$D$4:$D$11,A92,'07.08'!$E$4:$E$11)+SUMIF('07.08'!$F$4:$F$11,A92,'07.08'!$G$4:$G$11)+SUMIF('07.08'!$H$4:$H$11,A92,'07.08'!$I$4:$I$11)+SUMIF('07.08'!$J$4:$J$11,A92,'07.08'!$K$4:$K$11)+SUMIF('07.08'!$L$4:$L$11,A92,'07.08'!$M$4:$M$11)+SUMIF('07.08'!$N$4:$N$11,A92,'07.08'!$O$4:$O$11)</f>
        <v>0</v>
      </c>
      <c r="O96" s="15">
        <f>SUMIF('08.08'!$B$4:$B$11,A92,'08.08'!$C$4:$C$11)+SUMIF('08.08'!$D$4:$D$11,A92,'08.08'!$E$4:$E$11)+SUMIF('08.08'!$F$4:$F$11,A92,'08.08'!$G$4:$G$11)+SUMIF('08.08'!$H$4:$H$11,A92,'08.08'!$I$4:$I$11)+SUMIF('08.08'!$J$4:$J$11,A92,'08.08'!$K$4:$K$11)+SUMIF('08.08'!$L$4:$L$11,A92,'08.08'!$M$4:$M$11)+SUMIF('08.08'!$N$4:$N$11,A92,'08.08'!$O$4:$O$11)</f>
        <v>0</v>
      </c>
      <c r="P96" s="15">
        <f>SUMIF('09.08'!$B$4:$B$11,A92,'09.08'!$C$4:$C$11)+SUMIF('09.08'!$D$4:$D$11,A92,'09.08'!$E$4:$E$11)+SUMIF('09.08'!$F$4:$F$11,A92,'09.08'!$G$4:$G$11)+SUMIF('09.08'!$H$4:$H$11,A92,'09.08'!$I$4:$I$11)+SUMIF('09.08'!$J$4:$J$11,A92,'09.08'!$K$4:$K$11)+SUMIF('09.08'!$L$4:$L$11,A92,'09.08'!$M$4:$M$11)+SUMIF('09.08'!$N$4:$N$11,A92,'09.08'!$O$4:$O$11)</f>
        <v>0</v>
      </c>
      <c r="Q96" s="15">
        <f>SUMIF('10.08'!$B$4:$B$11,A92,'10.08'!$C$4:$C$11)+SUMIF('10.08'!$D$4:$D$11,A92,'10.08'!$E$4:$E$11)+SUMIF('10.08'!$F$4:$F$11,A92,'10.08'!$G$4:$G$11)+SUMIF('10.08'!$H$4:$H$11,A92,'10.08'!$I$4:$I$11)+SUMIF('10.08'!$J$4:$J$11,A92,'10.08'!$K$4:$K$11)+SUMIF('10.08'!$L$4:$L$11,A92,'10.08'!$M$4:$M$11)+SUMIF('10.08'!$N$4:$N$11,A92,'10.08'!$O$4:$O$11)</f>
        <v>0</v>
      </c>
      <c r="R96" s="16" t="str">
        <f t="shared" si="14"/>
        <v>#N/A</v>
      </c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>
      <c r="A97" s="39" t="str">
        <f>'список продуктов'!A117</f>
        <v/>
      </c>
      <c r="B97" s="39" t="str">
        <f>'список продуктов'!B117</f>
        <v/>
      </c>
      <c r="C97" s="39" t="str">
        <f>'список продуктов'!C117</f>
        <v/>
      </c>
      <c r="D97" s="39" t="str">
        <f>'список продуктов'!D117</f>
        <v/>
      </c>
      <c r="E97" s="39" t="str">
        <f>'список продуктов'!E117</f>
        <v/>
      </c>
      <c r="F97" s="47" t="str">
        <f t="shared" si="15"/>
        <v>#N/A</v>
      </c>
      <c r="G97" s="47" t="str">
        <f t="shared" si="10"/>
        <v>Введите занчения</v>
      </c>
      <c r="H97" s="48" t="str">
        <f t="shared" si="12"/>
        <v>Введите занчения</v>
      </c>
      <c r="I97" s="14">
        <f>SUMIF('02.08'!$B$4:$B$11,A93,'02.08'!$C$4:$C$11)+SUMIF('02.08'!$D$4:$D$11,A93,'02.08'!$E$4:$E$11)+SUMIF('02.08'!$F$4:$F$11,A93,'02.08'!$G$4:$G$11)+SUMIF('02.08'!$H$4:$H$11,A93,'02.08'!$I$4:$I$11)+SUMIF('02.08'!$J$4:$J$11,A93,'02.08'!$K$4:$K$11)+SUMIF('02.08'!$L$4:$L$11,A93,'02.08'!$M$4:$M$11)+SUMIF('02.08'!$N$4:$N$11,A93,'02.08'!$O$4:$O$11)</f>
        <v>0</v>
      </c>
      <c r="J97" s="15">
        <f>SUMIF('03.08'!$B$4:$B$11,A93,'03.08'!$C$4:$C$11)+SUMIF('03.08'!$D$4:$D$11,A93,'03.08'!$E$4:$E$11)+SUMIF('03.08'!$F$4:$F$11,A93,'03.08'!$G$4:$G$11)+SUMIF('03.08'!$H$4:$H$11,A93,'03.08'!$I$4:$I$11)+SUMIF('03.08'!$J$4:$J$11,A93,'03.08'!$K$4:$K$11)+SUMIF('03.08'!$L$4:$L$11,A93,'03.08'!$M$4:$M$11)+SUMIF('03.08'!$N$4:$N$11,A93,'03.08'!$O$4:$O$11)</f>
        <v>0</v>
      </c>
      <c r="K97" s="15">
        <f>SUMIF('04.08'!$B$4:$B$11,A93,'04.08'!$C$4:$C$11)+SUMIF('04.08'!$D$4:$D$11,A93,'04.08'!$E$4:$E$11)+SUMIF('04.08'!$F$4:$F$11,A93,'04.08'!$G$4:$G$11)+SUMIF('04.08'!$H$4:$H$11,A93,'04.08'!$I$4:$I$11)+SUMIF('04.08'!$J$4:$J$11,A93,'04.08'!$K$4:$K$11)+SUMIF('04.08'!$L$4:$L$11,A93,'04.08'!$M$4:$M$11)+SUMIF('04.08'!$N$4:$N$11,A93,'04.08'!$O$4:$O$11)</f>
        <v>0</v>
      </c>
      <c r="L97" s="15">
        <f>SUMIF('05.08'!$B$4:$B$11,A93,'05.08'!$C$4:$C$11)+SUMIF('05.08'!$D$4:$D$11,A93,'05.08'!$E$4:$E$11)+SUMIF('05.08'!$F$4:$F$11,A93,'05.08'!$G$4:$G$11)+SUMIF('05.08'!$H$4:$H$11,A93,'05.08'!$I$4:$I$11)+SUMIF('05.08'!$J$4:$J$11,A93,'05.08'!$K$4:$K$11)+SUMIF('05.08'!$L$4:$L$11,A93,'05.08'!$M$4:$M$11)+SUMIF('05.08'!$N$4:$N$11,A93,'05.08'!$O$4:$O$11)</f>
        <v>0</v>
      </c>
      <c r="M97" s="15">
        <f>SUMIF('06.08'!$B$4:$B$11,A93,'06.08'!$C$4:$C$11)+SUMIF('06.08'!$D$4:$D$11,A93,'06.08'!$E$4:$E$11)+SUMIF('06.08'!$F$4:$F$11,A93,'06.08'!$G$4:$G$11)+SUMIF('06.08'!$H$4:$H$11,A93,'06.08'!$I$4:$I$11)+SUMIF('06.08'!$J$4:$J$11,A93,'06.08'!$K$4:$K$11)+SUMIF('06.08'!$L$4:$L$11,A93,'06.08'!$M$4:$M$11)+SUMIF('06.08'!$N$4:$N$11,A93,'06.08'!$O$4:$O$11)</f>
        <v>0</v>
      </c>
      <c r="N97" s="15">
        <f>SUMIF('07.08'!$B$4:$B$11,A93,'07.08'!$C$4:$C$11)+SUMIF('07.08'!$D$4:$D$11,A93,'07.08'!$E$4:$E$11)+SUMIF('07.08'!$F$4:$F$11,A93,'07.08'!$G$4:$G$11)+SUMIF('07.08'!$H$4:$H$11,A93,'07.08'!$I$4:$I$11)+SUMIF('07.08'!$J$4:$J$11,A93,'07.08'!$K$4:$K$11)+SUMIF('07.08'!$L$4:$L$11,A93,'07.08'!$M$4:$M$11)+SUMIF('07.08'!$N$4:$N$11,A93,'07.08'!$O$4:$O$11)</f>
        <v>0</v>
      </c>
      <c r="O97" s="15">
        <f>SUMIF('08.08'!$B$4:$B$11,A93,'08.08'!$C$4:$C$11)+SUMIF('08.08'!$D$4:$D$11,A93,'08.08'!$E$4:$E$11)+SUMIF('08.08'!$F$4:$F$11,A93,'08.08'!$G$4:$G$11)+SUMIF('08.08'!$H$4:$H$11,A93,'08.08'!$I$4:$I$11)+SUMIF('08.08'!$J$4:$J$11,A93,'08.08'!$K$4:$K$11)+SUMIF('08.08'!$L$4:$L$11,A93,'08.08'!$M$4:$M$11)+SUMIF('08.08'!$N$4:$N$11,A93,'08.08'!$O$4:$O$11)</f>
        <v>0</v>
      </c>
      <c r="P97" s="15">
        <f>SUMIF('09.08'!$B$4:$B$11,A93,'09.08'!$C$4:$C$11)+SUMIF('09.08'!$D$4:$D$11,A93,'09.08'!$E$4:$E$11)+SUMIF('09.08'!$F$4:$F$11,A93,'09.08'!$G$4:$G$11)+SUMIF('09.08'!$H$4:$H$11,A93,'09.08'!$I$4:$I$11)+SUMIF('09.08'!$J$4:$J$11,A93,'09.08'!$K$4:$K$11)+SUMIF('09.08'!$L$4:$L$11,A93,'09.08'!$M$4:$M$11)+SUMIF('09.08'!$N$4:$N$11,A93,'09.08'!$O$4:$O$11)</f>
        <v>0</v>
      </c>
      <c r="Q97" s="15">
        <f>SUMIF('10.08'!$B$4:$B$11,A93,'10.08'!$C$4:$C$11)+SUMIF('10.08'!$D$4:$D$11,A93,'10.08'!$E$4:$E$11)+SUMIF('10.08'!$F$4:$F$11,A93,'10.08'!$G$4:$G$11)+SUMIF('10.08'!$H$4:$H$11,A93,'10.08'!$I$4:$I$11)+SUMIF('10.08'!$J$4:$J$11,A93,'10.08'!$K$4:$K$11)+SUMIF('10.08'!$L$4:$L$11,A93,'10.08'!$M$4:$M$11)+SUMIF('10.08'!$N$4:$N$11,A93,'10.08'!$O$4:$O$11)</f>
        <v>0</v>
      </c>
      <c r="R97" s="16" t="str">
        <f t="shared" si="14"/>
        <v>#N/A</v>
      </c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</row>
    <row r="98">
      <c r="A98" s="39" t="str">
        <f>'список продуктов'!A118</f>
        <v/>
      </c>
      <c r="B98" s="39" t="str">
        <f>'список продуктов'!B118</f>
        <v/>
      </c>
      <c r="C98" s="39" t="str">
        <f>'список продуктов'!C118</f>
        <v/>
      </c>
      <c r="D98" s="39" t="str">
        <f>'список продуктов'!D118</f>
        <v/>
      </c>
      <c r="E98" s="39" t="str">
        <f>'список продуктов'!E118</f>
        <v/>
      </c>
      <c r="F98" s="47" t="str">
        <f t="shared" si="15"/>
        <v>#N/A</v>
      </c>
      <c r="G98" s="47" t="str">
        <f t="shared" si="10"/>
        <v>Введите занчения</v>
      </c>
      <c r="H98" s="48" t="str">
        <f t="shared" si="12"/>
        <v>Введите занчения</v>
      </c>
      <c r="I98" s="14">
        <f>SUMIF('02.08'!$B$4:$B$11,A94,'02.08'!$C$4:$C$11)+SUMIF('02.08'!$D$4:$D$11,A94,'02.08'!$E$4:$E$11)+SUMIF('02.08'!$F$4:$F$11,A94,'02.08'!$G$4:$G$11)+SUMIF('02.08'!$H$4:$H$11,A94,'02.08'!$I$4:$I$11)+SUMIF('02.08'!$J$4:$J$11,A94,'02.08'!$K$4:$K$11)+SUMIF('02.08'!$L$4:$L$11,A94,'02.08'!$M$4:$M$11)+SUMIF('02.08'!$N$4:$N$11,A94,'02.08'!$O$4:$O$11)</f>
        <v>0</v>
      </c>
      <c r="J98" s="15">
        <f>SUMIF('03.08'!$B$4:$B$11,A94,'03.08'!$C$4:$C$11)+SUMIF('03.08'!$D$4:$D$11,A94,'03.08'!$E$4:$E$11)+SUMIF('03.08'!$F$4:$F$11,A94,'03.08'!$G$4:$G$11)+SUMIF('03.08'!$H$4:$H$11,A94,'03.08'!$I$4:$I$11)+SUMIF('03.08'!$J$4:$J$11,A94,'03.08'!$K$4:$K$11)+SUMIF('03.08'!$L$4:$L$11,A94,'03.08'!$M$4:$M$11)+SUMIF('03.08'!$N$4:$N$11,A94,'03.08'!$O$4:$O$11)</f>
        <v>0</v>
      </c>
      <c r="K98" s="15">
        <f>SUMIF('04.08'!$B$4:$B$11,A94,'04.08'!$C$4:$C$11)+SUMIF('04.08'!$D$4:$D$11,A94,'04.08'!$E$4:$E$11)+SUMIF('04.08'!$F$4:$F$11,A94,'04.08'!$G$4:$G$11)+SUMIF('04.08'!$H$4:$H$11,A94,'04.08'!$I$4:$I$11)+SUMIF('04.08'!$J$4:$J$11,A94,'04.08'!$K$4:$K$11)+SUMIF('04.08'!$L$4:$L$11,A94,'04.08'!$M$4:$M$11)+SUMIF('04.08'!$N$4:$N$11,A94,'04.08'!$O$4:$O$11)</f>
        <v>0</v>
      </c>
      <c r="L98" s="15">
        <f>SUMIF('05.08'!$B$4:$B$11,A94,'05.08'!$C$4:$C$11)+SUMIF('05.08'!$D$4:$D$11,A94,'05.08'!$E$4:$E$11)+SUMIF('05.08'!$F$4:$F$11,A94,'05.08'!$G$4:$G$11)+SUMIF('05.08'!$H$4:$H$11,A94,'05.08'!$I$4:$I$11)+SUMIF('05.08'!$J$4:$J$11,A94,'05.08'!$K$4:$K$11)+SUMIF('05.08'!$L$4:$L$11,A94,'05.08'!$M$4:$M$11)+SUMIF('05.08'!$N$4:$N$11,A94,'05.08'!$O$4:$O$11)</f>
        <v>0</v>
      </c>
      <c r="M98" s="15">
        <f>SUMIF('06.08'!$B$4:$B$11,A94,'06.08'!$C$4:$C$11)+SUMIF('06.08'!$D$4:$D$11,A94,'06.08'!$E$4:$E$11)+SUMIF('06.08'!$F$4:$F$11,A94,'06.08'!$G$4:$G$11)+SUMIF('06.08'!$H$4:$H$11,A94,'06.08'!$I$4:$I$11)+SUMIF('06.08'!$J$4:$J$11,A94,'06.08'!$K$4:$K$11)+SUMIF('06.08'!$L$4:$L$11,A94,'06.08'!$M$4:$M$11)+SUMIF('06.08'!$N$4:$N$11,A94,'06.08'!$O$4:$O$11)</f>
        <v>0</v>
      </c>
      <c r="N98" s="15">
        <f>SUMIF('07.08'!$B$4:$B$11,A94,'07.08'!$C$4:$C$11)+SUMIF('07.08'!$D$4:$D$11,A94,'07.08'!$E$4:$E$11)+SUMIF('07.08'!$F$4:$F$11,A94,'07.08'!$G$4:$G$11)+SUMIF('07.08'!$H$4:$H$11,A94,'07.08'!$I$4:$I$11)+SUMIF('07.08'!$J$4:$J$11,A94,'07.08'!$K$4:$K$11)+SUMIF('07.08'!$L$4:$L$11,A94,'07.08'!$M$4:$M$11)+SUMIF('07.08'!$N$4:$N$11,A94,'07.08'!$O$4:$O$11)</f>
        <v>0</v>
      </c>
      <c r="O98" s="15">
        <f>SUMIF('08.08'!$B$4:$B$11,A94,'08.08'!$C$4:$C$11)+SUMIF('08.08'!$D$4:$D$11,A94,'08.08'!$E$4:$E$11)+SUMIF('08.08'!$F$4:$F$11,A94,'08.08'!$G$4:$G$11)+SUMIF('08.08'!$H$4:$H$11,A94,'08.08'!$I$4:$I$11)+SUMIF('08.08'!$J$4:$J$11,A94,'08.08'!$K$4:$K$11)+SUMIF('08.08'!$L$4:$L$11,A94,'08.08'!$M$4:$M$11)+SUMIF('08.08'!$N$4:$N$11,A94,'08.08'!$O$4:$O$11)</f>
        <v>0</v>
      </c>
      <c r="P98" s="15">
        <f>SUMIF('09.08'!$B$4:$B$11,A94,'09.08'!$C$4:$C$11)+SUMIF('09.08'!$D$4:$D$11,A94,'09.08'!$E$4:$E$11)+SUMIF('09.08'!$F$4:$F$11,A94,'09.08'!$G$4:$G$11)+SUMIF('09.08'!$H$4:$H$11,A94,'09.08'!$I$4:$I$11)+SUMIF('09.08'!$J$4:$J$11,A94,'09.08'!$K$4:$K$11)+SUMIF('09.08'!$L$4:$L$11,A94,'09.08'!$M$4:$M$11)+SUMIF('09.08'!$N$4:$N$11,A94,'09.08'!$O$4:$O$11)</f>
        <v>0</v>
      </c>
      <c r="Q98" s="15">
        <f>SUMIF('10.08'!$B$4:$B$11,A94,'10.08'!$C$4:$C$11)+SUMIF('10.08'!$D$4:$D$11,A94,'10.08'!$E$4:$E$11)+SUMIF('10.08'!$F$4:$F$11,A94,'10.08'!$G$4:$G$11)+SUMIF('10.08'!$H$4:$H$11,A94,'10.08'!$I$4:$I$11)+SUMIF('10.08'!$J$4:$J$11,A94,'10.08'!$K$4:$K$11)+SUMIF('10.08'!$L$4:$L$11,A94,'10.08'!$M$4:$M$11)+SUMIF('10.08'!$N$4:$N$11,A94,'10.08'!$O$4:$O$11)</f>
        <v>0</v>
      </c>
      <c r="R98" s="16" t="str">
        <f t="shared" si="14"/>
        <v>#N/A</v>
      </c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</row>
    <row r="99">
      <c r="A99" s="39" t="str">
        <f>'список продуктов'!A119</f>
        <v/>
      </c>
      <c r="B99" s="39" t="str">
        <f>'список продуктов'!B119</f>
        <v/>
      </c>
      <c r="C99" s="39" t="str">
        <f>'список продуктов'!C119</f>
        <v/>
      </c>
      <c r="D99" s="39" t="str">
        <f>'список продуктов'!D119</f>
        <v/>
      </c>
      <c r="E99" s="39" t="str">
        <f>'список продуктов'!E119</f>
        <v/>
      </c>
      <c r="F99" s="47" t="str">
        <f t="shared" si="15"/>
        <v>#N/A</v>
      </c>
      <c r="G99" s="47" t="str">
        <f t="shared" si="10"/>
        <v>Введите занчения</v>
      </c>
      <c r="H99" s="48" t="str">
        <f t="shared" si="12"/>
        <v>Введите занчения</v>
      </c>
      <c r="I99" s="14">
        <f>SUMIF('02.08'!$B$4:$B$11,A95,'02.08'!$C$4:$C$11)+SUMIF('02.08'!$D$4:$D$11,A95,'02.08'!$E$4:$E$11)+SUMIF('02.08'!$F$4:$F$11,A95,'02.08'!$G$4:$G$11)+SUMIF('02.08'!$H$4:$H$11,A95,'02.08'!$I$4:$I$11)+SUMIF('02.08'!$J$4:$J$11,A95,'02.08'!$K$4:$K$11)+SUMIF('02.08'!$L$4:$L$11,A95,'02.08'!$M$4:$M$11)+SUMIF('02.08'!$N$4:$N$11,A95,'02.08'!$O$4:$O$11)</f>
        <v>0</v>
      </c>
      <c r="J99" s="15">
        <f>SUMIF('03.08'!$B$4:$B$11,A95,'03.08'!$C$4:$C$11)+SUMIF('03.08'!$D$4:$D$11,A95,'03.08'!$E$4:$E$11)+SUMIF('03.08'!$F$4:$F$11,A95,'03.08'!$G$4:$G$11)+SUMIF('03.08'!$H$4:$H$11,A95,'03.08'!$I$4:$I$11)+SUMIF('03.08'!$J$4:$J$11,A95,'03.08'!$K$4:$K$11)+SUMIF('03.08'!$L$4:$L$11,A95,'03.08'!$M$4:$M$11)+SUMIF('03.08'!$N$4:$N$11,A95,'03.08'!$O$4:$O$11)</f>
        <v>0</v>
      </c>
      <c r="K99" s="15">
        <f>SUMIF('04.08'!$B$4:$B$11,A95,'04.08'!$C$4:$C$11)+SUMIF('04.08'!$D$4:$D$11,A95,'04.08'!$E$4:$E$11)+SUMIF('04.08'!$F$4:$F$11,A95,'04.08'!$G$4:$G$11)+SUMIF('04.08'!$H$4:$H$11,A95,'04.08'!$I$4:$I$11)+SUMIF('04.08'!$J$4:$J$11,A95,'04.08'!$K$4:$K$11)+SUMIF('04.08'!$L$4:$L$11,A95,'04.08'!$M$4:$M$11)+SUMIF('04.08'!$N$4:$N$11,A95,'04.08'!$O$4:$O$11)</f>
        <v>0</v>
      </c>
      <c r="L99" s="15">
        <f>SUMIF('05.08'!$B$4:$B$11,A95,'05.08'!$C$4:$C$11)+SUMIF('05.08'!$D$4:$D$11,A95,'05.08'!$E$4:$E$11)+SUMIF('05.08'!$F$4:$F$11,A95,'05.08'!$G$4:$G$11)+SUMIF('05.08'!$H$4:$H$11,A95,'05.08'!$I$4:$I$11)+SUMIF('05.08'!$J$4:$J$11,A95,'05.08'!$K$4:$K$11)+SUMIF('05.08'!$L$4:$L$11,A95,'05.08'!$M$4:$M$11)+SUMIF('05.08'!$N$4:$N$11,A95,'05.08'!$O$4:$O$11)</f>
        <v>0</v>
      </c>
      <c r="M99" s="15">
        <f>SUMIF('06.08'!$B$4:$B$11,A95,'06.08'!$C$4:$C$11)+SUMIF('06.08'!$D$4:$D$11,A95,'06.08'!$E$4:$E$11)+SUMIF('06.08'!$F$4:$F$11,A95,'06.08'!$G$4:$G$11)+SUMIF('06.08'!$H$4:$H$11,A95,'06.08'!$I$4:$I$11)+SUMIF('06.08'!$J$4:$J$11,A95,'06.08'!$K$4:$K$11)+SUMIF('06.08'!$L$4:$L$11,A95,'06.08'!$M$4:$M$11)+SUMIF('06.08'!$N$4:$N$11,A95,'06.08'!$O$4:$O$11)</f>
        <v>0</v>
      </c>
      <c r="N99" s="15">
        <f>SUMIF('07.08'!$B$4:$B$11,A95,'07.08'!$C$4:$C$11)+SUMIF('07.08'!$D$4:$D$11,A95,'07.08'!$E$4:$E$11)+SUMIF('07.08'!$F$4:$F$11,A95,'07.08'!$G$4:$G$11)+SUMIF('07.08'!$H$4:$H$11,A95,'07.08'!$I$4:$I$11)+SUMIF('07.08'!$J$4:$J$11,A95,'07.08'!$K$4:$K$11)+SUMIF('07.08'!$L$4:$L$11,A95,'07.08'!$M$4:$M$11)+SUMIF('07.08'!$N$4:$N$11,A95,'07.08'!$O$4:$O$11)</f>
        <v>0</v>
      </c>
      <c r="O99" s="15">
        <f>SUMIF('08.08'!$B$4:$B$11,A95,'08.08'!$C$4:$C$11)+SUMIF('08.08'!$D$4:$D$11,A95,'08.08'!$E$4:$E$11)+SUMIF('08.08'!$F$4:$F$11,A95,'08.08'!$G$4:$G$11)+SUMIF('08.08'!$H$4:$H$11,A95,'08.08'!$I$4:$I$11)+SUMIF('08.08'!$J$4:$J$11,A95,'08.08'!$K$4:$K$11)+SUMIF('08.08'!$L$4:$L$11,A95,'08.08'!$M$4:$M$11)+SUMIF('08.08'!$N$4:$N$11,A95,'08.08'!$O$4:$O$11)</f>
        <v>0</v>
      </c>
      <c r="P99" s="15">
        <f>SUMIF('09.08'!$B$4:$B$11,A95,'09.08'!$C$4:$C$11)+SUMIF('09.08'!$D$4:$D$11,A95,'09.08'!$E$4:$E$11)+SUMIF('09.08'!$F$4:$F$11,A95,'09.08'!$G$4:$G$11)+SUMIF('09.08'!$H$4:$H$11,A95,'09.08'!$I$4:$I$11)+SUMIF('09.08'!$J$4:$J$11,A95,'09.08'!$K$4:$K$11)+SUMIF('09.08'!$L$4:$L$11,A95,'09.08'!$M$4:$M$11)+SUMIF('09.08'!$N$4:$N$11,A95,'09.08'!$O$4:$O$11)</f>
        <v>0</v>
      </c>
      <c r="Q99" s="15">
        <f>SUMIF('10.08'!$B$4:$B$11,A95,'10.08'!$C$4:$C$11)+SUMIF('10.08'!$D$4:$D$11,A95,'10.08'!$E$4:$E$11)+SUMIF('10.08'!$F$4:$F$11,A95,'10.08'!$G$4:$G$11)+SUMIF('10.08'!$H$4:$H$11,A95,'10.08'!$I$4:$I$11)+SUMIF('10.08'!$J$4:$J$11,A95,'10.08'!$K$4:$K$11)+SUMIF('10.08'!$L$4:$L$11,A95,'10.08'!$M$4:$M$11)+SUMIF('10.08'!$N$4:$N$11,A95,'10.08'!$O$4:$O$11)</f>
        <v>0</v>
      </c>
      <c r="R99" s="16" t="str">
        <f t="shared" si="14"/>
        <v>#N/A</v>
      </c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</row>
    <row r="100">
      <c r="A100" s="39" t="str">
        <f>'список продуктов'!A120</f>
        <v/>
      </c>
      <c r="B100" s="39" t="str">
        <f>'список продуктов'!B120</f>
        <v/>
      </c>
      <c r="C100" s="39" t="str">
        <f>'список продуктов'!C120</f>
        <v/>
      </c>
      <c r="D100" s="39" t="str">
        <f>'список продуктов'!D120</f>
        <v/>
      </c>
      <c r="E100" s="39" t="str">
        <f>'список продуктов'!E120</f>
        <v/>
      </c>
      <c r="F100" s="47" t="str">
        <f t="shared" si="15"/>
        <v>#N/A</v>
      </c>
      <c r="G100" s="47" t="str">
        <f t="shared" si="10"/>
        <v>Введите занчения</v>
      </c>
      <c r="H100" s="48" t="str">
        <f t="shared" si="12"/>
        <v>Введите занчения</v>
      </c>
      <c r="I100" s="14">
        <f>SUMIF('02.08'!$B$4:$B$11,A96,'02.08'!$C$4:$C$11)+SUMIF('02.08'!$D$4:$D$11,A96,'02.08'!$E$4:$E$11)+SUMIF('02.08'!$F$4:$F$11,A96,'02.08'!$G$4:$G$11)+SUMIF('02.08'!$H$4:$H$11,A96,'02.08'!$I$4:$I$11)+SUMIF('02.08'!$J$4:$J$11,A96,'02.08'!$K$4:$K$11)+SUMIF('02.08'!$L$4:$L$11,A96,'02.08'!$M$4:$M$11)+SUMIF('02.08'!$N$4:$N$11,A96,'02.08'!$O$4:$O$11)</f>
        <v>0</v>
      </c>
      <c r="J100" s="15">
        <f>SUMIF('03.08'!$B$4:$B$11,A96,'03.08'!$C$4:$C$11)+SUMIF('03.08'!$D$4:$D$11,A96,'03.08'!$E$4:$E$11)+SUMIF('03.08'!$F$4:$F$11,A96,'03.08'!$G$4:$G$11)+SUMIF('03.08'!$H$4:$H$11,A96,'03.08'!$I$4:$I$11)+SUMIF('03.08'!$J$4:$J$11,A96,'03.08'!$K$4:$K$11)+SUMIF('03.08'!$L$4:$L$11,A96,'03.08'!$M$4:$M$11)+SUMIF('03.08'!$N$4:$N$11,A96,'03.08'!$O$4:$O$11)</f>
        <v>0</v>
      </c>
      <c r="K100" s="15">
        <f>SUMIF('04.08'!$B$4:$B$11,A96,'04.08'!$C$4:$C$11)+SUMIF('04.08'!$D$4:$D$11,A96,'04.08'!$E$4:$E$11)+SUMIF('04.08'!$F$4:$F$11,A96,'04.08'!$G$4:$G$11)+SUMIF('04.08'!$H$4:$H$11,A96,'04.08'!$I$4:$I$11)+SUMIF('04.08'!$J$4:$J$11,A96,'04.08'!$K$4:$K$11)+SUMIF('04.08'!$L$4:$L$11,A96,'04.08'!$M$4:$M$11)+SUMIF('04.08'!$N$4:$N$11,A96,'04.08'!$O$4:$O$11)</f>
        <v>0</v>
      </c>
      <c r="L100" s="15">
        <f>SUMIF('05.08'!$B$4:$B$11,A96,'05.08'!$C$4:$C$11)+SUMIF('05.08'!$D$4:$D$11,A96,'05.08'!$E$4:$E$11)+SUMIF('05.08'!$F$4:$F$11,A96,'05.08'!$G$4:$G$11)+SUMIF('05.08'!$H$4:$H$11,A96,'05.08'!$I$4:$I$11)+SUMIF('05.08'!$J$4:$J$11,A96,'05.08'!$K$4:$K$11)+SUMIF('05.08'!$L$4:$L$11,A96,'05.08'!$M$4:$M$11)+SUMIF('05.08'!$N$4:$N$11,A96,'05.08'!$O$4:$O$11)</f>
        <v>0</v>
      </c>
      <c r="M100" s="15">
        <f>SUMIF('06.08'!$B$4:$B$11,A96,'06.08'!$C$4:$C$11)+SUMIF('06.08'!$D$4:$D$11,A96,'06.08'!$E$4:$E$11)+SUMIF('06.08'!$F$4:$F$11,A96,'06.08'!$G$4:$G$11)+SUMIF('06.08'!$H$4:$H$11,A96,'06.08'!$I$4:$I$11)+SUMIF('06.08'!$J$4:$J$11,A96,'06.08'!$K$4:$K$11)+SUMIF('06.08'!$L$4:$L$11,A96,'06.08'!$M$4:$M$11)+SUMIF('06.08'!$N$4:$N$11,A96,'06.08'!$O$4:$O$11)</f>
        <v>0</v>
      </c>
      <c r="N100" s="15">
        <f>SUMIF('07.08'!$B$4:$B$11,A96,'07.08'!$C$4:$C$11)+SUMIF('07.08'!$D$4:$D$11,A96,'07.08'!$E$4:$E$11)+SUMIF('07.08'!$F$4:$F$11,A96,'07.08'!$G$4:$G$11)+SUMIF('07.08'!$H$4:$H$11,A96,'07.08'!$I$4:$I$11)+SUMIF('07.08'!$J$4:$J$11,A96,'07.08'!$K$4:$K$11)+SUMIF('07.08'!$L$4:$L$11,A96,'07.08'!$M$4:$M$11)+SUMIF('07.08'!$N$4:$N$11,A96,'07.08'!$O$4:$O$11)</f>
        <v>0</v>
      </c>
      <c r="O100" s="15">
        <f>SUMIF('08.08'!$B$4:$B$11,A96,'08.08'!$C$4:$C$11)+SUMIF('08.08'!$D$4:$D$11,A96,'08.08'!$E$4:$E$11)+SUMIF('08.08'!$F$4:$F$11,A96,'08.08'!$G$4:$G$11)+SUMIF('08.08'!$H$4:$H$11,A96,'08.08'!$I$4:$I$11)+SUMIF('08.08'!$J$4:$J$11,A96,'08.08'!$K$4:$K$11)+SUMIF('08.08'!$L$4:$L$11,A96,'08.08'!$M$4:$M$11)+SUMIF('08.08'!$N$4:$N$11,A96,'08.08'!$O$4:$O$11)</f>
        <v>0</v>
      </c>
      <c r="P100" s="15">
        <f>SUMIF('09.08'!$B$4:$B$11,A96,'09.08'!$C$4:$C$11)+SUMIF('09.08'!$D$4:$D$11,A96,'09.08'!$E$4:$E$11)+SUMIF('09.08'!$F$4:$F$11,A96,'09.08'!$G$4:$G$11)+SUMIF('09.08'!$H$4:$H$11,A96,'09.08'!$I$4:$I$11)+SUMIF('09.08'!$J$4:$J$11,A96,'09.08'!$K$4:$K$11)+SUMIF('09.08'!$L$4:$L$11,A96,'09.08'!$M$4:$M$11)+SUMIF('09.08'!$N$4:$N$11,A96,'09.08'!$O$4:$O$11)</f>
        <v>0</v>
      </c>
      <c r="Q100" s="15">
        <f>SUMIF('10.08'!$B$4:$B$11,A96,'10.08'!$C$4:$C$11)+SUMIF('10.08'!$D$4:$D$11,A96,'10.08'!$E$4:$E$11)+SUMIF('10.08'!$F$4:$F$11,A96,'10.08'!$G$4:$G$11)+SUMIF('10.08'!$H$4:$H$11,A96,'10.08'!$I$4:$I$11)+SUMIF('10.08'!$J$4:$J$11,A96,'10.08'!$K$4:$K$11)+SUMIF('10.08'!$L$4:$L$11,A96,'10.08'!$M$4:$M$11)+SUMIF('10.08'!$N$4:$N$11,A96,'10.08'!$O$4:$O$11)</f>
        <v>0</v>
      </c>
      <c r="R100" s="16" t="str">
        <f t="shared" si="14"/>
        <v>#N/A</v>
      </c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</row>
    <row r="101">
      <c r="A101" s="39" t="str">
        <f>'список продуктов'!A121</f>
        <v/>
      </c>
      <c r="B101" s="39" t="str">
        <f>'список продуктов'!B121</f>
        <v/>
      </c>
      <c r="C101" s="39" t="str">
        <f>'список продуктов'!C121</f>
        <v/>
      </c>
      <c r="D101" s="39" t="str">
        <f>'список продуктов'!D121</f>
        <v/>
      </c>
      <c r="E101" s="39" t="str">
        <f>'список продуктов'!E121</f>
        <v/>
      </c>
      <c r="F101" s="47" t="str">
        <f t="shared" si="15"/>
        <v>#N/A</v>
      </c>
      <c r="G101" s="47" t="str">
        <f t="shared" si="10"/>
        <v>Введите занчения</v>
      </c>
      <c r="H101" s="48" t="str">
        <f t="shared" si="12"/>
        <v>Введите занчения</v>
      </c>
      <c r="I101" s="14">
        <f>SUMIF('02.08'!$B$4:$B$11,A97,'02.08'!$C$4:$C$11)+SUMIF('02.08'!$D$4:$D$11,A97,'02.08'!$E$4:$E$11)+SUMIF('02.08'!$F$4:$F$11,A97,'02.08'!$G$4:$G$11)+SUMIF('02.08'!$H$4:$H$11,A97,'02.08'!$I$4:$I$11)+SUMIF('02.08'!$J$4:$J$11,A97,'02.08'!$K$4:$K$11)+SUMIF('02.08'!$L$4:$L$11,A97,'02.08'!$M$4:$M$11)+SUMIF('02.08'!$N$4:$N$11,A97,'02.08'!$O$4:$O$11)</f>
        <v>0</v>
      </c>
      <c r="J101" s="15">
        <f>SUMIF('03.08'!$B$4:$B$11,A97,'03.08'!$C$4:$C$11)+SUMIF('03.08'!$D$4:$D$11,A97,'03.08'!$E$4:$E$11)+SUMIF('03.08'!$F$4:$F$11,A97,'03.08'!$G$4:$G$11)+SUMIF('03.08'!$H$4:$H$11,A97,'03.08'!$I$4:$I$11)+SUMIF('03.08'!$J$4:$J$11,A97,'03.08'!$K$4:$K$11)+SUMIF('03.08'!$L$4:$L$11,A97,'03.08'!$M$4:$M$11)+SUMIF('03.08'!$N$4:$N$11,A97,'03.08'!$O$4:$O$11)</f>
        <v>0</v>
      </c>
      <c r="K101" s="15">
        <f>SUMIF('04.08'!$B$4:$B$11,A97,'04.08'!$C$4:$C$11)+SUMIF('04.08'!$D$4:$D$11,A97,'04.08'!$E$4:$E$11)+SUMIF('04.08'!$F$4:$F$11,A97,'04.08'!$G$4:$G$11)+SUMIF('04.08'!$H$4:$H$11,A97,'04.08'!$I$4:$I$11)+SUMIF('04.08'!$J$4:$J$11,A97,'04.08'!$K$4:$K$11)+SUMIF('04.08'!$L$4:$L$11,A97,'04.08'!$M$4:$M$11)+SUMIF('04.08'!$N$4:$N$11,A97,'04.08'!$O$4:$O$11)</f>
        <v>0</v>
      </c>
      <c r="L101" s="15">
        <f>SUMIF('05.08'!$B$4:$B$11,A97,'05.08'!$C$4:$C$11)+SUMIF('05.08'!$D$4:$D$11,A97,'05.08'!$E$4:$E$11)+SUMIF('05.08'!$F$4:$F$11,A97,'05.08'!$G$4:$G$11)+SUMIF('05.08'!$H$4:$H$11,A97,'05.08'!$I$4:$I$11)+SUMIF('05.08'!$J$4:$J$11,A97,'05.08'!$K$4:$K$11)+SUMIF('05.08'!$L$4:$L$11,A97,'05.08'!$M$4:$M$11)+SUMIF('05.08'!$N$4:$N$11,A97,'05.08'!$O$4:$O$11)</f>
        <v>0</v>
      </c>
      <c r="M101" s="15">
        <f>SUMIF('06.08'!$B$4:$B$11,A97,'06.08'!$C$4:$C$11)+SUMIF('06.08'!$D$4:$D$11,A97,'06.08'!$E$4:$E$11)+SUMIF('06.08'!$F$4:$F$11,A97,'06.08'!$G$4:$G$11)+SUMIF('06.08'!$H$4:$H$11,A97,'06.08'!$I$4:$I$11)+SUMIF('06.08'!$J$4:$J$11,A97,'06.08'!$K$4:$K$11)+SUMIF('06.08'!$L$4:$L$11,A97,'06.08'!$M$4:$M$11)+SUMIF('06.08'!$N$4:$N$11,A97,'06.08'!$O$4:$O$11)</f>
        <v>0</v>
      </c>
      <c r="N101" s="15">
        <f>SUMIF('07.08'!$B$4:$B$11,A97,'07.08'!$C$4:$C$11)+SUMIF('07.08'!$D$4:$D$11,A97,'07.08'!$E$4:$E$11)+SUMIF('07.08'!$F$4:$F$11,A97,'07.08'!$G$4:$G$11)+SUMIF('07.08'!$H$4:$H$11,A97,'07.08'!$I$4:$I$11)+SUMIF('07.08'!$J$4:$J$11,A97,'07.08'!$K$4:$K$11)+SUMIF('07.08'!$L$4:$L$11,A97,'07.08'!$M$4:$M$11)+SUMIF('07.08'!$N$4:$N$11,A97,'07.08'!$O$4:$O$11)</f>
        <v>0</v>
      </c>
      <c r="O101" s="15">
        <f>SUMIF('08.08'!$B$4:$B$11,A97,'08.08'!$C$4:$C$11)+SUMIF('08.08'!$D$4:$D$11,A97,'08.08'!$E$4:$E$11)+SUMIF('08.08'!$F$4:$F$11,A97,'08.08'!$G$4:$G$11)+SUMIF('08.08'!$H$4:$H$11,A97,'08.08'!$I$4:$I$11)+SUMIF('08.08'!$J$4:$J$11,A97,'08.08'!$K$4:$K$11)+SUMIF('08.08'!$L$4:$L$11,A97,'08.08'!$M$4:$M$11)+SUMIF('08.08'!$N$4:$N$11,A97,'08.08'!$O$4:$O$11)</f>
        <v>0</v>
      </c>
      <c r="P101" s="15">
        <f>SUMIF('09.08'!$B$4:$B$11,A97,'09.08'!$C$4:$C$11)+SUMIF('09.08'!$D$4:$D$11,A97,'09.08'!$E$4:$E$11)+SUMIF('09.08'!$F$4:$F$11,A97,'09.08'!$G$4:$G$11)+SUMIF('09.08'!$H$4:$H$11,A97,'09.08'!$I$4:$I$11)+SUMIF('09.08'!$J$4:$J$11,A97,'09.08'!$K$4:$K$11)+SUMIF('09.08'!$L$4:$L$11,A97,'09.08'!$M$4:$M$11)+SUMIF('09.08'!$N$4:$N$11,A97,'09.08'!$O$4:$O$11)</f>
        <v>0</v>
      </c>
      <c r="Q101" s="15">
        <f>SUMIF('10.08'!$B$4:$B$11,A97,'10.08'!$C$4:$C$11)+SUMIF('10.08'!$D$4:$D$11,A97,'10.08'!$E$4:$E$11)+SUMIF('10.08'!$F$4:$F$11,A97,'10.08'!$G$4:$G$11)+SUMIF('10.08'!$H$4:$H$11,A97,'10.08'!$I$4:$I$11)+SUMIF('10.08'!$J$4:$J$11,A97,'10.08'!$K$4:$K$11)+SUMIF('10.08'!$L$4:$L$11,A97,'10.08'!$M$4:$M$11)+SUMIF('10.08'!$N$4:$N$11,A97,'10.08'!$O$4:$O$11)</f>
        <v>0</v>
      </c>
      <c r="R101" s="16" t="str">
        <f t="shared" si="14"/>
        <v>#N/A</v>
      </c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>
      <c r="A102" s="39" t="str">
        <f>'список продуктов'!A122</f>
        <v/>
      </c>
      <c r="B102" s="39" t="str">
        <f>'список продуктов'!B122</f>
        <v/>
      </c>
      <c r="C102" s="39" t="str">
        <f>'список продуктов'!C122</f>
        <v/>
      </c>
      <c r="D102" s="39" t="str">
        <f>'список продуктов'!D122</f>
        <v/>
      </c>
      <c r="E102" s="39" t="str">
        <f>'список продуктов'!E122</f>
        <v/>
      </c>
      <c r="F102" s="47" t="str">
        <f t="shared" si="15"/>
        <v>#N/A</v>
      </c>
      <c r="G102" s="47" t="str">
        <f t="shared" si="10"/>
        <v>Введите занчения</v>
      </c>
      <c r="H102" s="48" t="str">
        <f t="shared" si="12"/>
        <v>Введите занчения</v>
      </c>
      <c r="I102" s="14">
        <f>SUMIF('02.08'!$B$4:$B$11,A98,'02.08'!$C$4:$C$11)+SUMIF('02.08'!$D$4:$D$11,A98,'02.08'!$E$4:$E$11)+SUMIF('02.08'!$F$4:$F$11,A98,'02.08'!$G$4:$G$11)+SUMIF('02.08'!$H$4:$H$11,A98,'02.08'!$I$4:$I$11)+SUMIF('02.08'!$J$4:$J$11,A98,'02.08'!$K$4:$K$11)+SUMIF('02.08'!$L$4:$L$11,A98,'02.08'!$M$4:$M$11)+SUMIF('02.08'!$N$4:$N$11,A98,'02.08'!$O$4:$O$11)</f>
        <v>0</v>
      </c>
      <c r="J102" s="15">
        <f>SUMIF('03.08'!$B$4:$B$11,A98,'03.08'!$C$4:$C$11)+SUMIF('03.08'!$D$4:$D$11,A98,'03.08'!$E$4:$E$11)+SUMIF('03.08'!$F$4:$F$11,A98,'03.08'!$G$4:$G$11)+SUMIF('03.08'!$H$4:$H$11,A98,'03.08'!$I$4:$I$11)+SUMIF('03.08'!$J$4:$J$11,A98,'03.08'!$K$4:$K$11)+SUMIF('03.08'!$L$4:$L$11,A98,'03.08'!$M$4:$M$11)+SUMIF('03.08'!$N$4:$N$11,A98,'03.08'!$O$4:$O$11)</f>
        <v>0</v>
      </c>
      <c r="K102" s="15">
        <f>SUMIF('04.08'!$B$4:$B$11,A98,'04.08'!$C$4:$C$11)+SUMIF('04.08'!$D$4:$D$11,A98,'04.08'!$E$4:$E$11)+SUMIF('04.08'!$F$4:$F$11,A98,'04.08'!$G$4:$G$11)+SUMIF('04.08'!$H$4:$H$11,A98,'04.08'!$I$4:$I$11)+SUMIF('04.08'!$J$4:$J$11,A98,'04.08'!$K$4:$K$11)+SUMIF('04.08'!$L$4:$L$11,A98,'04.08'!$M$4:$M$11)+SUMIF('04.08'!$N$4:$N$11,A98,'04.08'!$O$4:$O$11)</f>
        <v>0</v>
      </c>
      <c r="L102" s="15">
        <f>SUMIF('05.08'!$B$4:$B$11,A98,'05.08'!$C$4:$C$11)+SUMIF('05.08'!$D$4:$D$11,A98,'05.08'!$E$4:$E$11)+SUMIF('05.08'!$F$4:$F$11,A98,'05.08'!$G$4:$G$11)+SUMIF('05.08'!$H$4:$H$11,A98,'05.08'!$I$4:$I$11)+SUMIF('05.08'!$J$4:$J$11,A98,'05.08'!$K$4:$K$11)+SUMIF('05.08'!$L$4:$L$11,A98,'05.08'!$M$4:$M$11)+SUMIF('05.08'!$N$4:$N$11,A98,'05.08'!$O$4:$O$11)</f>
        <v>0</v>
      </c>
      <c r="M102" s="15">
        <f>SUMIF('06.08'!$B$4:$B$11,A98,'06.08'!$C$4:$C$11)+SUMIF('06.08'!$D$4:$D$11,A98,'06.08'!$E$4:$E$11)+SUMIF('06.08'!$F$4:$F$11,A98,'06.08'!$G$4:$G$11)+SUMIF('06.08'!$H$4:$H$11,A98,'06.08'!$I$4:$I$11)+SUMIF('06.08'!$J$4:$J$11,A98,'06.08'!$K$4:$K$11)+SUMIF('06.08'!$L$4:$L$11,A98,'06.08'!$M$4:$M$11)+SUMIF('06.08'!$N$4:$N$11,A98,'06.08'!$O$4:$O$11)</f>
        <v>0</v>
      </c>
      <c r="N102" s="15">
        <f>SUMIF('07.08'!$B$4:$B$11,A98,'07.08'!$C$4:$C$11)+SUMIF('07.08'!$D$4:$D$11,A98,'07.08'!$E$4:$E$11)+SUMIF('07.08'!$F$4:$F$11,A98,'07.08'!$G$4:$G$11)+SUMIF('07.08'!$H$4:$H$11,A98,'07.08'!$I$4:$I$11)+SUMIF('07.08'!$J$4:$J$11,A98,'07.08'!$K$4:$K$11)+SUMIF('07.08'!$L$4:$L$11,A98,'07.08'!$M$4:$M$11)+SUMIF('07.08'!$N$4:$N$11,A98,'07.08'!$O$4:$O$11)</f>
        <v>0</v>
      </c>
      <c r="O102" s="15">
        <f>SUMIF('08.08'!$B$4:$B$11,A98,'08.08'!$C$4:$C$11)+SUMIF('08.08'!$D$4:$D$11,A98,'08.08'!$E$4:$E$11)+SUMIF('08.08'!$F$4:$F$11,A98,'08.08'!$G$4:$G$11)+SUMIF('08.08'!$H$4:$H$11,A98,'08.08'!$I$4:$I$11)+SUMIF('08.08'!$J$4:$J$11,A98,'08.08'!$K$4:$K$11)+SUMIF('08.08'!$L$4:$L$11,A98,'08.08'!$M$4:$M$11)+SUMIF('08.08'!$N$4:$N$11,A98,'08.08'!$O$4:$O$11)</f>
        <v>0</v>
      </c>
      <c r="P102" s="15">
        <f>SUMIF('09.08'!$B$4:$B$11,A98,'09.08'!$C$4:$C$11)+SUMIF('09.08'!$D$4:$D$11,A98,'09.08'!$E$4:$E$11)+SUMIF('09.08'!$F$4:$F$11,A98,'09.08'!$G$4:$G$11)+SUMIF('09.08'!$H$4:$H$11,A98,'09.08'!$I$4:$I$11)+SUMIF('09.08'!$J$4:$J$11,A98,'09.08'!$K$4:$K$11)+SUMIF('09.08'!$L$4:$L$11,A98,'09.08'!$M$4:$M$11)+SUMIF('09.08'!$N$4:$N$11,A98,'09.08'!$O$4:$O$11)</f>
        <v>0</v>
      </c>
      <c r="Q102" s="15">
        <f>SUMIF('10.08'!$B$4:$B$11,A98,'10.08'!$C$4:$C$11)+SUMIF('10.08'!$D$4:$D$11,A98,'10.08'!$E$4:$E$11)+SUMIF('10.08'!$F$4:$F$11,A98,'10.08'!$G$4:$G$11)+SUMIF('10.08'!$H$4:$H$11,A98,'10.08'!$I$4:$I$11)+SUMIF('10.08'!$J$4:$J$11,A98,'10.08'!$K$4:$K$11)+SUMIF('10.08'!$L$4:$L$11,A98,'10.08'!$M$4:$M$11)+SUMIF('10.08'!$N$4:$N$11,A98,'10.08'!$O$4:$O$11)</f>
        <v>0</v>
      </c>
      <c r="R102" s="16" t="str">
        <f t="shared" si="14"/>
        <v>#N/A</v>
      </c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>
      <c r="A103" s="39" t="str">
        <f>'список продуктов'!A123</f>
        <v/>
      </c>
      <c r="B103" s="39" t="str">
        <f>'список продуктов'!B123</f>
        <v/>
      </c>
      <c r="C103" s="39" t="str">
        <f>'список продуктов'!C123</f>
        <v/>
      </c>
      <c r="D103" s="39" t="str">
        <f>'список продуктов'!D123</f>
        <v/>
      </c>
      <c r="E103" s="39" t="str">
        <f>'список продуктов'!E123</f>
        <v/>
      </c>
      <c r="F103" s="47" t="str">
        <f t="shared" si="15"/>
        <v>#N/A</v>
      </c>
      <c r="G103" s="47" t="str">
        <f t="shared" si="10"/>
        <v>Введите занчения</v>
      </c>
      <c r="H103" s="48" t="str">
        <f t="shared" si="12"/>
        <v>Введите занчения</v>
      </c>
      <c r="I103" s="14">
        <f>SUMIF('02.08'!$B$4:$B$11,A99,'02.08'!$C$4:$C$11)+SUMIF('02.08'!$D$4:$D$11,A99,'02.08'!$E$4:$E$11)+SUMIF('02.08'!$F$4:$F$11,A99,'02.08'!$G$4:$G$11)+SUMIF('02.08'!$H$4:$H$11,A99,'02.08'!$I$4:$I$11)+SUMIF('02.08'!$J$4:$J$11,A99,'02.08'!$K$4:$K$11)+SUMIF('02.08'!$L$4:$L$11,A99,'02.08'!$M$4:$M$11)+SUMIF('02.08'!$N$4:$N$11,A99,'02.08'!$O$4:$O$11)</f>
        <v>0</v>
      </c>
      <c r="J103" s="15">
        <f>SUMIF('03.08'!$B$4:$B$11,A99,'03.08'!$C$4:$C$11)+SUMIF('03.08'!$D$4:$D$11,A99,'03.08'!$E$4:$E$11)+SUMIF('03.08'!$F$4:$F$11,A99,'03.08'!$G$4:$G$11)+SUMIF('03.08'!$H$4:$H$11,A99,'03.08'!$I$4:$I$11)+SUMIF('03.08'!$J$4:$J$11,A99,'03.08'!$K$4:$K$11)+SUMIF('03.08'!$L$4:$L$11,A99,'03.08'!$M$4:$M$11)+SUMIF('03.08'!$N$4:$N$11,A99,'03.08'!$O$4:$O$11)</f>
        <v>0</v>
      </c>
      <c r="K103" s="15">
        <f>SUMIF('04.08'!$B$4:$B$11,A99,'04.08'!$C$4:$C$11)+SUMIF('04.08'!$D$4:$D$11,A99,'04.08'!$E$4:$E$11)+SUMIF('04.08'!$F$4:$F$11,A99,'04.08'!$G$4:$G$11)+SUMIF('04.08'!$H$4:$H$11,A99,'04.08'!$I$4:$I$11)+SUMIF('04.08'!$J$4:$J$11,A99,'04.08'!$K$4:$K$11)+SUMIF('04.08'!$L$4:$L$11,A99,'04.08'!$M$4:$M$11)+SUMIF('04.08'!$N$4:$N$11,A99,'04.08'!$O$4:$O$11)</f>
        <v>0</v>
      </c>
      <c r="L103" s="15">
        <f>SUMIF('05.08'!$B$4:$B$11,A99,'05.08'!$C$4:$C$11)+SUMIF('05.08'!$D$4:$D$11,A99,'05.08'!$E$4:$E$11)+SUMIF('05.08'!$F$4:$F$11,A99,'05.08'!$G$4:$G$11)+SUMIF('05.08'!$H$4:$H$11,A99,'05.08'!$I$4:$I$11)+SUMIF('05.08'!$J$4:$J$11,A99,'05.08'!$K$4:$K$11)+SUMIF('05.08'!$L$4:$L$11,A99,'05.08'!$M$4:$M$11)+SUMIF('05.08'!$N$4:$N$11,A99,'05.08'!$O$4:$O$11)</f>
        <v>0</v>
      </c>
      <c r="M103" s="15">
        <f>SUMIF('06.08'!$B$4:$B$11,A99,'06.08'!$C$4:$C$11)+SUMIF('06.08'!$D$4:$D$11,A99,'06.08'!$E$4:$E$11)+SUMIF('06.08'!$F$4:$F$11,A99,'06.08'!$G$4:$G$11)+SUMIF('06.08'!$H$4:$H$11,A99,'06.08'!$I$4:$I$11)+SUMIF('06.08'!$J$4:$J$11,A99,'06.08'!$K$4:$K$11)+SUMIF('06.08'!$L$4:$L$11,A99,'06.08'!$M$4:$M$11)+SUMIF('06.08'!$N$4:$N$11,A99,'06.08'!$O$4:$O$11)</f>
        <v>0</v>
      </c>
      <c r="N103" s="15">
        <f>SUMIF('07.08'!$B$4:$B$11,A99,'07.08'!$C$4:$C$11)+SUMIF('07.08'!$D$4:$D$11,A99,'07.08'!$E$4:$E$11)+SUMIF('07.08'!$F$4:$F$11,A99,'07.08'!$G$4:$G$11)+SUMIF('07.08'!$H$4:$H$11,A99,'07.08'!$I$4:$I$11)+SUMIF('07.08'!$J$4:$J$11,A99,'07.08'!$K$4:$K$11)+SUMIF('07.08'!$L$4:$L$11,A99,'07.08'!$M$4:$M$11)+SUMIF('07.08'!$N$4:$N$11,A99,'07.08'!$O$4:$O$11)</f>
        <v>0</v>
      </c>
      <c r="O103" s="15">
        <f>SUMIF('08.08'!$B$4:$B$11,A99,'08.08'!$C$4:$C$11)+SUMIF('08.08'!$D$4:$D$11,A99,'08.08'!$E$4:$E$11)+SUMIF('08.08'!$F$4:$F$11,A99,'08.08'!$G$4:$G$11)+SUMIF('08.08'!$H$4:$H$11,A99,'08.08'!$I$4:$I$11)+SUMIF('08.08'!$J$4:$J$11,A99,'08.08'!$K$4:$K$11)+SUMIF('08.08'!$L$4:$L$11,A99,'08.08'!$M$4:$M$11)+SUMIF('08.08'!$N$4:$N$11,A99,'08.08'!$O$4:$O$11)</f>
        <v>0</v>
      </c>
      <c r="P103" s="15">
        <f>SUMIF('09.08'!$B$4:$B$11,A99,'09.08'!$C$4:$C$11)+SUMIF('09.08'!$D$4:$D$11,A99,'09.08'!$E$4:$E$11)+SUMIF('09.08'!$F$4:$F$11,A99,'09.08'!$G$4:$G$11)+SUMIF('09.08'!$H$4:$H$11,A99,'09.08'!$I$4:$I$11)+SUMIF('09.08'!$J$4:$J$11,A99,'09.08'!$K$4:$K$11)+SUMIF('09.08'!$L$4:$L$11,A99,'09.08'!$M$4:$M$11)+SUMIF('09.08'!$N$4:$N$11,A99,'09.08'!$O$4:$O$11)</f>
        <v>0</v>
      </c>
      <c r="Q103" s="15">
        <f>SUMIF('10.08'!$B$4:$B$11,A99,'10.08'!$C$4:$C$11)+SUMIF('10.08'!$D$4:$D$11,A99,'10.08'!$E$4:$E$11)+SUMIF('10.08'!$F$4:$F$11,A99,'10.08'!$G$4:$G$11)+SUMIF('10.08'!$H$4:$H$11,A99,'10.08'!$I$4:$I$11)+SUMIF('10.08'!$J$4:$J$11,A99,'10.08'!$K$4:$K$11)+SUMIF('10.08'!$L$4:$L$11,A99,'10.08'!$M$4:$M$11)+SUMIF('10.08'!$N$4:$N$11,A99,'10.08'!$O$4:$O$11)</f>
        <v>0</v>
      </c>
      <c r="R103" s="16" t="str">
        <f t="shared" si="14"/>
        <v>#N/A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</row>
    <row r="104">
      <c r="A104" s="39" t="str">
        <f>'список продуктов'!A124</f>
        <v/>
      </c>
      <c r="B104" s="39" t="str">
        <f>'список продуктов'!B124</f>
        <v/>
      </c>
      <c r="C104" s="39" t="str">
        <f>'список продуктов'!C124</f>
        <v/>
      </c>
      <c r="D104" s="39" t="str">
        <f>'список продуктов'!D124</f>
        <v/>
      </c>
      <c r="E104" s="39" t="str">
        <f>'список продуктов'!E124</f>
        <v/>
      </c>
      <c r="F104" s="47" t="str">
        <f t="shared" si="15"/>
        <v>#N/A</v>
      </c>
      <c r="G104" s="47" t="str">
        <f t="shared" si="10"/>
        <v>Введите занчения</v>
      </c>
      <c r="H104" s="48" t="str">
        <f t="shared" si="12"/>
        <v>Введите занчения</v>
      </c>
      <c r="I104" s="14">
        <f>SUMIF('02.08'!$B$4:$B$11,A100,'02.08'!$C$4:$C$11)+SUMIF('02.08'!$D$4:$D$11,A100,'02.08'!$E$4:$E$11)+SUMIF('02.08'!$F$4:$F$11,A100,'02.08'!$G$4:$G$11)+SUMIF('02.08'!$H$4:$H$11,A100,'02.08'!$I$4:$I$11)+SUMIF('02.08'!$J$4:$J$11,A100,'02.08'!$K$4:$K$11)+SUMIF('02.08'!$L$4:$L$11,A100,'02.08'!$M$4:$M$11)+SUMIF('02.08'!$N$4:$N$11,A100,'02.08'!$O$4:$O$11)</f>
        <v>0</v>
      </c>
      <c r="J104" s="15">
        <f>SUMIF('03.08'!$B$4:$B$11,A100,'03.08'!$C$4:$C$11)+SUMIF('03.08'!$D$4:$D$11,A100,'03.08'!$E$4:$E$11)+SUMIF('03.08'!$F$4:$F$11,A100,'03.08'!$G$4:$G$11)+SUMIF('03.08'!$H$4:$H$11,A100,'03.08'!$I$4:$I$11)+SUMIF('03.08'!$J$4:$J$11,A100,'03.08'!$K$4:$K$11)+SUMIF('03.08'!$L$4:$L$11,A100,'03.08'!$M$4:$M$11)+SUMIF('03.08'!$N$4:$N$11,A100,'03.08'!$O$4:$O$11)</f>
        <v>0</v>
      </c>
      <c r="K104" s="15">
        <f>SUMIF('04.08'!$B$4:$B$11,A100,'04.08'!$C$4:$C$11)+SUMIF('04.08'!$D$4:$D$11,A100,'04.08'!$E$4:$E$11)+SUMIF('04.08'!$F$4:$F$11,A100,'04.08'!$G$4:$G$11)+SUMIF('04.08'!$H$4:$H$11,A100,'04.08'!$I$4:$I$11)+SUMIF('04.08'!$J$4:$J$11,A100,'04.08'!$K$4:$K$11)+SUMIF('04.08'!$L$4:$L$11,A100,'04.08'!$M$4:$M$11)+SUMIF('04.08'!$N$4:$N$11,A100,'04.08'!$O$4:$O$11)</f>
        <v>0</v>
      </c>
      <c r="L104" s="15">
        <f>SUMIF('05.08'!$B$4:$B$11,A100,'05.08'!$C$4:$C$11)+SUMIF('05.08'!$D$4:$D$11,A100,'05.08'!$E$4:$E$11)+SUMIF('05.08'!$F$4:$F$11,A100,'05.08'!$G$4:$G$11)+SUMIF('05.08'!$H$4:$H$11,A100,'05.08'!$I$4:$I$11)+SUMIF('05.08'!$J$4:$J$11,A100,'05.08'!$K$4:$K$11)+SUMIF('05.08'!$L$4:$L$11,A100,'05.08'!$M$4:$M$11)+SUMIF('05.08'!$N$4:$N$11,A100,'05.08'!$O$4:$O$11)</f>
        <v>0</v>
      </c>
      <c r="M104" s="15">
        <f>SUMIF('06.08'!$B$4:$B$11,A100,'06.08'!$C$4:$C$11)+SUMIF('06.08'!$D$4:$D$11,A100,'06.08'!$E$4:$E$11)+SUMIF('06.08'!$F$4:$F$11,A100,'06.08'!$G$4:$G$11)+SUMIF('06.08'!$H$4:$H$11,A100,'06.08'!$I$4:$I$11)+SUMIF('06.08'!$J$4:$J$11,A100,'06.08'!$K$4:$K$11)+SUMIF('06.08'!$L$4:$L$11,A100,'06.08'!$M$4:$M$11)+SUMIF('06.08'!$N$4:$N$11,A100,'06.08'!$O$4:$O$11)</f>
        <v>0</v>
      </c>
      <c r="N104" s="15">
        <f>SUMIF('07.08'!$B$4:$B$11,A100,'07.08'!$C$4:$C$11)+SUMIF('07.08'!$D$4:$D$11,A100,'07.08'!$E$4:$E$11)+SUMIF('07.08'!$F$4:$F$11,A100,'07.08'!$G$4:$G$11)+SUMIF('07.08'!$H$4:$H$11,A100,'07.08'!$I$4:$I$11)+SUMIF('07.08'!$J$4:$J$11,A100,'07.08'!$K$4:$K$11)+SUMIF('07.08'!$L$4:$L$11,A100,'07.08'!$M$4:$M$11)+SUMIF('07.08'!$N$4:$N$11,A100,'07.08'!$O$4:$O$11)</f>
        <v>0</v>
      </c>
      <c r="O104" s="15">
        <f>SUMIF('08.08'!$B$4:$B$11,A100,'08.08'!$C$4:$C$11)+SUMIF('08.08'!$D$4:$D$11,A100,'08.08'!$E$4:$E$11)+SUMIF('08.08'!$F$4:$F$11,A100,'08.08'!$G$4:$G$11)+SUMIF('08.08'!$H$4:$H$11,A100,'08.08'!$I$4:$I$11)+SUMIF('08.08'!$J$4:$J$11,A100,'08.08'!$K$4:$K$11)+SUMIF('08.08'!$L$4:$L$11,A100,'08.08'!$M$4:$M$11)+SUMIF('08.08'!$N$4:$N$11,A100,'08.08'!$O$4:$O$11)</f>
        <v>0</v>
      </c>
      <c r="P104" s="15">
        <f>SUMIF('09.08'!$B$4:$B$11,A100,'09.08'!$C$4:$C$11)+SUMIF('09.08'!$D$4:$D$11,A100,'09.08'!$E$4:$E$11)+SUMIF('09.08'!$F$4:$F$11,A100,'09.08'!$G$4:$G$11)+SUMIF('09.08'!$H$4:$H$11,A100,'09.08'!$I$4:$I$11)+SUMIF('09.08'!$J$4:$J$11,A100,'09.08'!$K$4:$K$11)+SUMIF('09.08'!$L$4:$L$11,A100,'09.08'!$M$4:$M$11)+SUMIF('09.08'!$N$4:$N$11,A100,'09.08'!$O$4:$O$11)</f>
        <v>0</v>
      </c>
      <c r="Q104" s="15">
        <f>SUMIF('10.08'!$B$4:$B$11,A100,'10.08'!$C$4:$C$11)+SUMIF('10.08'!$D$4:$D$11,A100,'10.08'!$E$4:$E$11)+SUMIF('10.08'!$F$4:$F$11,A100,'10.08'!$G$4:$G$11)+SUMIF('10.08'!$H$4:$H$11,A100,'10.08'!$I$4:$I$11)+SUMIF('10.08'!$J$4:$J$11,A100,'10.08'!$K$4:$K$11)+SUMIF('10.08'!$L$4:$L$11,A100,'10.08'!$M$4:$M$11)+SUMIF('10.08'!$N$4:$N$11,A100,'10.08'!$O$4:$O$11)</f>
        <v>0</v>
      </c>
      <c r="R104" s="16" t="str">
        <f t="shared" si="14"/>
        <v>#N/A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</row>
    <row r="105">
      <c r="A105" s="39" t="str">
        <f>'список продуктов'!A125</f>
        <v/>
      </c>
      <c r="B105" s="39" t="str">
        <f>'список продуктов'!B125</f>
        <v/>
      </c>
      <c r="C105" s="39" t="str">
        <f>'список продуктов'!C125</f>
        <v/>
      </c>
      <c r="D105" s="39" t="str">
        <f>'список продуктов'!D125</f>
        <v/>
      </c>
      <c r="E105" s="39" t="str">
        <f>'список продуктов'!E125</f>
        <v/>
      </c>
      <c r="F105" s="47" t="str">
        <f t="shared" si="15"/>
        <v>#N/A</v>
      </c>
      <c r="G105" s="47" t="str">
        <f t="shared" si="10"/>
        <v>Введите занчения</v>
      </c>
      <c r="H105" s="48" t="str">
        <f t="shared" si="12"/>
        <v>Введите занчения</v>
      </c>
      <c r="I105" s="14">
        <f>SUMIF('02.08'!$B$4:$B$11,A101,'02.08'!$C$4:$C$11)+SUMIF('02.08'!$D$4:$D$11,A101,'02.08'!$E$4:$E$11)+SUMIF('02.08'!$F$4:$F$11,A101,'02.08'!$G$4:$G$11)+SUMIF('02.08'!$H$4:$H$11,A101,'02.08'!$I$4:$I$11)+SUMIF('02.08'!$J$4:$J$11,A101,'02.08'!$K$4:$K$11)+SUMIF('02.08'!$L$4:$L$11,A101,'02.08'!$M$4:$M$11)+SUMIF('02.08'!$N$4:$N$11,A101,'02.08'!$O$4:$O$11)</f>
        <v>0</v>
      </c>
      <c r="J105" s="15">
        <f>SUMIF('03.08'!$B$4:$B$11,A101,'03.08'!$C$4:$C$11)+SUMIF('03.08'!$D$4:$D$11,A101,'03.08'!$E$4:$E$11)+SUMIF('03.08'!$F$4:$F$11,A101,'03.08'!$G$4:$G$11)+SUMIF('03.08'!$H$4:$H$11,A101,'03.08'!$I$4:$I$11)+SUMIF('03.08'!$J$4:$J$11,A101,'03.08'!$K$4:$K$11)+SUMIF('03.08'!$L$4:$L$11,A101,'03.08'!$M$4:$M$11)+SUMIF('03.08'!$N$4:$N$11,A101,'03.08'!$O$4:$O$11)</f>
        <v>0</v>
      </c>
      <c r="K105" s="15">
        <f>SUMIF('04.08'!$B$4:$B$11,A101,'04.08'!$C$4:$C$11)+SUMIF('04.08'!$D$4:$D$11,A101,'04.08'!$E$4:$E$11)+SUMIF('04.08'!$F$4:$F$11,A101,'04.08'!$G$4:$G$11)+SUMIF('04.08'!$H$4:$H$11,A101,'04.08'!$I$4:$I$11)+SUMIF('04.08'!$J$4:$J$11,A101,'04.08'!$K$4:$K$11)+SUMIF('04.08'!$L$4:$L$11,A101,'04.08'!$M$4:$M$11)+SUMIF('04.08'!$N$4:$N$11,A101,'04.08'!$O$4:$O$11)</f>
        <v>0</v>
      </c>
      <c r="L105" s="15">
        <f>SUMIF('05.08'!$B$4:$B$11,A101,'05.08'!$C$4:$C$11)+SUMIF('05.08'!$D$4:$D$11,A101,'05.08'!$E$4:$E$11)+SUMIF('05.08'!$F$4:$F$11,A101,'05.08'!$G$4:$G$11)+SUMIF('05.08'!$H$4:$H$11,A101,'05.08'!$I$4:$I$11)+SUMIF('05.08'!$J$4:$J$11,A101,'05.08'!$K$4:$K$11)+SUMIF('05.08'!$L$4:$L$11,A101,'05.08'!$M$4:$M$11)+SUMIF('05.08'!$N$4:$N$11,A101,'05.08'!$O$4:$O$11)</f>
        <v>0</v>
      </c>
      <c r="M105" s="15">
        <f>SUMIF('06.08'!$B$4:$B$11,A101,'06.08'!$C$4:$C$11)+SUMIF('06.08'!$D$4:$D$11,A101,'06.08'!$E$4:$E$11)+SUMIF('06.08'!$F$4:$F$11,A101,'06.08'!$G$4:$G$11)+SUMIF('06.08'!$H$4:$H$11,A101,'06.08'!$I$4:$I$11)+SUMIF('06.08'!$J$4:$J$11,A101,'06.08'!$K$4:$K$11)+SUMIF('06.08'!$L$4:$L$11,A101,'06.08'!$M$4:$M$11)+SUMIF('06.08'!$N$4:$N$11,A101,'06.08'!$O$4:$O$11)</f>
        <v>0</v>
      </c>
      <c r="N105" s="15">
        <f>SUMIF('07.08'!$B$4:$B$11,A101,'07.08'!$C$4:$C$11)+SUMIF('07.08'!$D$4:$D$11,A101,'07.08'!$E$4:$E$11)+SUMIF('07.08'!$F$4:$F$11,A101,'07.08'!$G$4:$G$11)+SUMIF('07.08'!$H$4:$H$11,A101,'07.08'!$I$4:$I$11)+SUMIF('07.08'!$J$4:$J$11,A101,'07.08'!$K$4:$K$11)+SUMIF('07.08'!$L$4:$L$11,A101,'07.08'!$M$4:$M$11)+SUMIF('07.08'!$N$4:$N$11,A101,'07.08'!$O$4:$O$11)</f>
        <v>0</v>
      </c>
      <c r="O105" s="15">
        <f>SUMIF('08.08'!$B$4:$B$11,A101,'08.08'!$C$4:$C$11)+SUMIF('08.08'!$D$4:$D$11,A101,'08.08'!$E$4:$E$11)+SUMIF('08.08'!$F$4:$F$11,A101,'08.08'!$G$4:$G$11)+SUMIF('08.08'!$H$4:$H$11,A101,'08.08'!$I$4:$I$11)+SUMIF('08.08'!$J$4:$J$11,A101,'08.08'!$K$4:$K$11)+SUMIF('08.08'!$L$4:$L$11,A101,'08.08'!$M$4:$M$11)+SUMIF('08.08'!$N$4:$N$11,A101,'08.08'!$O$4:$O$11)</f>
        <v>0</v>
      </c>
      <c r="P105" s="15">
        <f>SUMIF('09.08'!$B$4:$B$11,A101,'09.08'!$C$4:$C$11)+SUMIF('09.08'!$D$4:$D$11,A101,'09.08'!$E$4:$E$11)+SUMIF('09.08'!$F$4:$F$11,A101,'09.08'!$G$4:$G$11)+SUMIF('09.08'!$H$4:$H$11,A101,'09.08'!$I$4:$I$11)+SUMIF('09.08'!$J$4:$J$11,A101,'09.08'!$K$4:$K$11)+SUMIF('09.08'!$L$4:$L$11,A101,'09.08'!$M$4:$M$11)+SUMIF('09.08'!$N$4:$N$11,A101,'09.08'!$O$4:$O$11)</f>
        <v>0</v>
      </c>
      <c r="Q105" s="15">
        <f>SUMIF('10.08'!$B$4:$B$11,A101,'10.08'!$C$4:$C$11)+SUMIF('10.08'!$D$4:$D$11,A101,'10.08'!$E$4:$E$11)+SUMIF('10.08'!$F$4:$F$11,A101,'10.08'!$G$4:$G$11)+SUMIF('10.08'!$H$4:$H$11,A101,'10.08'!$I$4:$I$11)+SUMIF('10.08'!$J$4:$J$11,A101,'10.08'!$K$4:$K$11)+SUMIF('10.08'!$L$4:$L$11,A101,'10.08'!$M$4:$M$11)+SUMIF('10.08'!$N$4:$N$11,A101,'10.08'!$O$4:$O$11)</f>
        <v>0</v>
      </c>
      <c r="R105" s="16" t="str">
        <f t="shared" si="14"/>
        <v>#N/A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</row>
    <row r="106">
      <c r="A106" s="39" t="str">
        <f>'список продуктов'!A126</f>
        <v/>
      </c>
      <c r="B106" s="39" t="str">
        <f>'список продуктов'!B126</f>
        <v/>
      </c>
      <c r="C106" s="39" t="str">
        <f>'список продуктов'!C126</f>
        <v/>
      </c>
      <c r="D106" s="39" t="str">
        <f>'список продуктов'!D126</f>
        <v/>
      </c>
      <c r="E106" s="39" t="str">
        <f>'список продуктов'!E126</f>
        <v/>
      </c>
      <c r="F106" s="47" t="str">
        <f t="shared" si="15"/>
        <v>#N/A</v>
      </c>
      <c r="G106" s="47" t="str">
        <f t="shared" si="10"/>
        <v>Введите занчения</v>
      </c>
      <c r="H106" s="48" t="str">
        <f t="shared" si="12"/>
        <v>Введите занчения</v>
      </c>
      <c r="I106" s="14">
        <f>SUMIF('02.08'!$B$4:$B$11,A102,'02.08'!$C$4:$C$11)+SUMIF('02.08'!$D$4:$D$11,A102,'02.08'!$E$4:$E$11)+SUMIF('02.08'!$F$4:$F$11,A102,'02.08'!$G$4:$G$11)+SUMIF('02.08'!$H$4:$H$11,A102,'02.08'!$I$4:$I$11)+SUMIF('02.08'!$J$4:$J$11,A102,'02.08'!$K$4:$K$11)+SUMIF('02.08'!$L$4:$L$11,A102,'02.08'!$M$4:$M$11)+SUMIF('02.08'!$N$4:$N$11,A102,'02.08'!$O$4:$O$11)</f>
        <v>0</v>
      </c>
      <c r="J106" s="15">
        <f>SUMIF('03.08'!$B$4:$B$11,A102,'03.08'!$C$4:$C$11)+SUMIF('03.08'!$D$4:$D$11,A102,'03.08'!$E$4:$E$11)+SUMIF('03.08'!$F$4:$F$11,A102,'03.08'!$G$4:$G$11)+SUMIF('03.08'!$H$4:$H$11,A102,'03.08'!$I$4:$I$11)+SUMIF('03.08'!$J$4:$J$11,A102,'03.08'!$K$4:$K$11)+SUMIF('03.08'!$L$4:$L$11,A102,'03.08'!$M$4:$M$11)+SUMIF('03.08'!$N$4:$N$11,A102,'03.08'!$O$4:$O$11)</f>
        <v>0</v>
      </c>
      <c r="K106" s="15">
        <f>SUMIF('04.08'!$B$4:$B$11,A102,'04.08'!$C$4:$C$11)+SUMIF('04.08'!$D$4:$D$11,A102,'04.08'!$E$4:$E$11)+SUMIF('04.08'!$F$4:$F$11,A102,'04.08'!$G$4:$G$11)+SUMIF('04.08'!$H$4:$H$11,A102,'04.08'!$I$4:$I$11)+SUMIF('04.08'!$J$4:$J$11,A102,'04.08'!$K$4:$K$11)+SUMIF('04.08'!$L$4:$L$11,A102,'04.08'!$M$4:$M$11)+SUMIF('04.08'!$N$4:$N$11,A102,'04.08'!$O$4:$O$11)</f>
        <v>0</v>
      </c>
      <c r="L106" s="15">
        <f>SUMIF('05.08'!$B$4:$B$11,A102,'05.08'!$C$4:$C$11)+SUMIF('05.08'!$D$4:$D$11,A102,'05.08'!$E$4:$E$11)+SUMIF('05.08'!$F$4:$F$11,A102,'05.08'!$G$4:$G$11)+SUMIF('05.08'!$H$4:$H$11,A102,'05.08'!$I$4:$I$11)+SUMIF('05.08'!$J$4:$J$11,A102,'05.08'!$K$4:$K$11)+SUMIF('05.08'!$L$4:$L$11,A102,'05.08'!$M$4:$M$11)+SUMIF('05.08'!$N$4:$N$11,A102,'05.08'!$O$4:$O$11)</f>
        <v>0</v>
      </c>
      <c r="M106" s="15">
        <f>SUMIF('06.08'!$B$4:$B$11,A102,'06.08'!$C$4:$C$11)+SUMIF('06.08'!$D$4:$D$11,A102,'06.08'!$E$4:$E$11)+SUMIF('06.08'!$F$4:$F$11,A102,'06.08'!$G$4:$G$11)+SUMIF('06.08'!$H$4:$H$11,A102,'06.08'!$I$4:$I$11)+SUMIF('06.08'!$J$4:$J$11,A102,'06.08'!$K$4:$K$11)+SUMIF('06.08'!$L$4:$L$11,A102,'06.08'!$M$4:$M$11)+SUMIF('06.08'!$N$4:$N$11,A102,'06.08'!$O$4:$O$11)</f>
        <v>0</v>
      </c>
      <c r="N106" s="15">
        <f>SUMIF('07.08'!$B$4:$B$11,A102,'07.08'!$C$4:$C$11)+SUMIF('07.08'!$D$4:$D$11,A102,'07.08'!$E$4:$E$11)+SUMIF('07.08'!$F$4:$F$11,A102,'07.08'!$G$4:$G$11)+SUMIF('07.08'!$H$4:$H$11,A102,'07.08'!$I$4:$I$11)+SUMIF('07.08'!$J$4:$J$11,A102,'07.08'!$K$4:$K$11)+SUMIF('07.08'!$L$4:$L$11,A102,'07.08'!$M$4:$M$11)+SUMIF('07.08'!$N$4:$N$11,A102,'07.08'!$O$4:$O$11)</f>
        <v>0</v>
      </c>
      <c r="O106" s="15">
        <f>SUMIF('08.08'!$B$4:$B$11,A102,'08.08'!$C$4:$C$11)+SUMIF('08.08'!$D$4:$D$11,A102,'08.08'!$E$4:$E$11)+SUMIF('08.08'!$F$4:$F$11,A102,'08.08'!$G$4:$G$11)+SUMIF('08.08'!$H$4:$H$11,A102,'08.08'!$I$4:$I$11)+SUMIF('08.08'!$J$4:$J$11,A102,'08.08'!$K$4:$K$11)+SUMIF('08.08'!$L$4:$L$11,A102,'08.08'!$M$4:$M$11)+SUMIF('08.08'!$N$4:$N$11,A102,'08.08'!$O$4:$O$11)</f>
        <v>0</v>
      </c>
      <c r="P106" s="15">
        <f>SUMIF('09.08'!$B$4:$B$11,A102,'09.08'!$C$4:$C$11)+SUMIF('09.08'!$D$4:$D$11,A102,'09.08'!$E$4:$E$11)+SUMIF('09.08'!$F$4:$F$11,A102,'09.08'!$G$4:$G$11)+SUMIF('09.08'!$H$4:$H$11,A102,'09.08'!$I$4:$I$11)+SUMIF('09.08'!$J$4:$J$11,A102,'09.08'!$K$4:$K$11)+SUMIF('09.08'!$L$4:$L$11,A102,'09.08'!$M$4:$M$11)+SUMIF('09.08'!$N$4:$N$11,A102,'09.08'!$O$4:$O$11)</f>
        <v>0</v>
      </c>
      <c r="Q106" s="15">
        <f>SUMIF('10.08'!$B$4:$B$11,A102,'10.08'!$C$4:$C$11)+SUMIF('10.08'!$D$4:$D$11,A102,'10.08'!$E$4:$E$11)+SUMIF('10.08'!$F$4:$F$11,A102,'10.08'!$G$4:$G$11)+SUMIF('10.08'!$H$4:$H$11,A102,'10.08'!$I$4:$I$11)+SUMIF('10.08'!$J$4:$J$11,A102,'10.08'!$K$4:$K$11)+SUMIF('10.08'!$L$4:$L$11,A102,'10.08'!$M$4:$M$11)+SUMIF('10.08'!$N$4:$N$11,A102,'10.08'!$O$4:$O$11)</f>
        <v>0</v>
      </c>
      <c r="R106" s="16" t="str">
        <f t="shared" si="14"/>
        <v>#N/A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</row>
    <row r="107">
      <c r="A107" s="39" t="str">
        <f>'список продуктов'!A127</f>
        <v/>
      </c>
      <c r="B107" s="39" t="str">
        <f>'список продуктов'!B127</f>
        <v/>
      </c>
      <c r="C107" s="39" t="str">
        <f>'список продуктов'!C127</f>
        <v/>
      </c>
      <c r="D107" s="39" t="str">
        <f>'список продуктов'!D127</f>
        <v/>
      </c>
      <c r="E107" s="39" t="str">
        <f>'список продуктов'!E127</f>
        <v/>
      </c>
      <c r="F107" s="47" t="str">
        <f t="shared" si="15"/>
        <v>#N/A</v>
      </c>
      <c r="G107" s="47" t="str">
        <f t="shared" si="10"/>
        <v>Введите занчения</v>
      </c>
      <c r="H107" s="48" t="str">
        <f t="shared" si="12"/>
        <v>Введите занчения</v>
      </c>
      <c r="I107" s="14">
        <f>SUMIF('02.08'!$B$4:$B$11,A103,'02.08'!$C$4:$C$11)+SUMIF('02.08'!$D$4:$D$11,A103,'02.08'!$E$4:$E$11)+SUMIF('02.08'!$F$4:$F$11,A103,'02.08'!$G$4:$G$11)+SUMIF('02.08'!$H$4:$H$11,A103,'02.08'!$I$4:$I$11)+SUMIF('02.08'!$J$4:$J$11,A103,'02.08'!$K$4:$K$11)+SUMIF('02.08'!$L$4:$L$11,A103,'02.08'!$M$4:$M$11)+SUMIF('02.08'!$N$4:$N$11,A103,'02.08'!$O$4:$O$11)</f>
        <v>0</v>
      </c>
      <c r="J107" s="15">
        <f>SUMIF('03.08'!$B$4:$B$11,A103,'03.08'!$C$4:$C$11)+SUMIF('03.08'!$D$4:$D$11,A103,'03.08'!$E$4:$E$11)+SUMIF('03.08'!$F$4:$F$11,A103,'03.08'!$G$4:$G$11)+SUMIF('03.08'!$H$4:$H$11,A103,'03.08'!$I$4:$I$11)+SUMIF('03.08'!$J$4:$J$11,A103,'03.08'!$K$4:$K$11)+SUMIF('03.08'!$L$4:$L$11,A103,'03.08'!$M$4:$M$11)+SUMIF('03.08'!$N$4:$N$11,A103,'03.08'!$O$4:$O$11)</f>
        <v>0</v>
      </c>
      <c r="K107" s="15">
        <f>SUMIF('04.08'!$B$4:$B$11,A103,'04.08'!$C$4:$C$11)+SUMIF('04.08'!$D$4:$D$11,A103,'04.08'!$E$4:$E$11)+SUMIF('04.08'!$F$4:$F$11,A103,'04.08'!$G$4:$G$11)+SUMIF('04.08'!$H$4:$H$11,A103,'04.08'!$I$4:$I$11)+SUMIF('04.08'!$J$4:$J$11,A103,'04.08'!$K$4:$K$11)+SUMIF('04.08'!$L$4:$L$11,A103,'04.08'!$M$4:$M$11)+SUMIF('04.08'!$N$4:$N$11,A103,'04.08'!$O$4:$O$11)</f>
        <v>0</v>
      </c>
      <c r="L107" s="15">
        <f>SUMIF('05.08'!$B$4:$B$11,A103,'05.08'!$C$4:$C$11)+SUMIF('05.08'!$D$4:$D$11,A103,'05.08'!$E$4:$E$11)+SUMIF('05.08'!$F$4:$F$11,A103,'05.08'!$G$4:$G$11)+SUMIF('05.08'!$H$4:$H$11,A103,'05.08'!$I$4:$I$11)+SUMIF('05.08'!$J$4:$J$11,A103,'05.08'!$K$4:$K$11)+SUMIF('05.08'!$L$4:$L$11,A103,'05.08'!$M$4:$M$11)+SUMIF('05.08'!$N$4:$N$11,A103,'05.08'!$O$4:$O$11)</f>
        <v>0</v>
      </c>
      <c r="M107" s="15">
        <f>SUMIF('06.08'!$B$4:$B$11,A103,'06.08'!$C$4:$C$11)+SUMIF('06.08'!$D$4:$D$11,A103,'06.08'!$E$4:$E$11)+SUMIF('06.08'!$F$4:$F$11,A103,'06.08'!$G$4:$G$11)+SUMIF('06.08'!$H$4:$H$11,A103,'06.08'!$I$4:$I$11)+SUMIF('06.08'!$J$4:$J$11,A103,'06.08'!$K$4:$K$11)+SUMIF('06.08'!$L$4:$L$11,A103,'06.08'!$M$4:$M$11)+SUMIF('06.08'!$N$4:$N$11,A103,'06.08'!$O$4:$O$11)</f>
        <v>0</v>
      </c>
      <c r="N107" s="15">
        <f>SUMIF('07.08'!$B$4:$B$11,A103,'07.08'!$C$4:$C$11)+SUMIF('07.08'!$D$4:$D$11,A103,'07.08'!$E$4:$E$11)+SUMIF('07.08'!$F$4:$F$11,A103,'07.08'!$G$4:$G$11)+SUMIF('07.08'!$H$4:$H$11,A103,'07.08'!$I$4:$I$11)+SUMIF('07.08'!$J$4:$J$11,A103,'07.08'!$K$4:$K$11)+SUMIF('07.08'!$L$4:$L$11,A103,'07.08'!$M$4:$M$11)+SUMIF('07.08'!$N$4:$N$11,A103,'07.08'!$O$4:$O$11)</f>
        <v>0</v>
      </c>
      <c r="O107" s="15">
        <f>SUMIF('08.08'!$B$4:$B$11,A103,'08.08'!$C$4:$C$11)+SUMIF('08.08'!$D$4:$D$11,A103,'08.08'!$E$4:$E$11)+SUMIF('08.08'!$F$4:$F$11,A103,'08.08'!$G$4:$G$11)+SUMIF('08.08'!$H$4:$H$11,A103,'08.08'!$I$4:$I$11)+SUMIF('08.08'!$J$4:$J$11,A103,'08.08'!$K$4:$K$11)+SUMIF('08.08'!$L$4:$L$11,A103,'08.08'!$M$4:$M$11)+SUMIF('08.08'!$N$4:$N$11,A103,'08.08'!$O$4:$O$11)</f>
        <v>0</v>
      </c>
      <c r="P107" s="15">
        <f>SUMIF('09.08'!$B$4:$B$11,A103,'09.08'!$C$4:$C$11)+SUMIF('09.08'!$D$4:$D$11,A103,'09.08'!$E$4:$E$11)+SUMIF('09.08'!$F$4:$F$11,A103,'09.08'!$G$4:$G$11)+SUMIF('09.08'!$H$4:$H$11,A103,'09.08'!$I$4:$I$11)+SUMIF('09.08'!$J$4:$J$11,A103,'09.08'!$K$4:$K$11)+SUMIF('09.08'!$L$4:$L$11,A103,'09.08'!$M$4:$M$11)+SUMIF('09.08'!$N$4:$N$11,A103,'09.08'!$O$4:$O$11)</f>
        <v>0</v>
      </c>
      <c r="Q107" s="15">
        <f>SUMIF('10.08'!$B$4:$B$11,A103,'10.08'!$C$4:$C$11)+SUMIF('10.08'!$D$4:$D$11,A103,'10.08'!$E$4:$E$11)+SUMIF('10.08'!$F$4:$F$11,A103,'10.08'!$G$4:$G$11)+SUMIF('10.08'!$H$4:$H$11,A103,'10.08'!$I$4:$I$11)+SUMIF('10.08'!$J$4:$J$11,A103,'10.08'!$K$4:$K$11)+SUMIF('10.08'!$L$4:$L$11,A103,'10.08'!$M$4:$M$11)+SUMIF('10.08'!$N$4:$N$11,A103,'10.08'!$O$4:$O$11)</f>
        <v>0</v>
      </c>
      <c r="R107" s="16" t="str">
        <f t="shared" si="14"/>
        <v>#N/A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</row>
    <row r="108">
      <c r="A108" s="39" t="str">
        <f>'список продуктов'!A128</f>
        <v/>
      </c>
      <c r="B108" s="39" t="str">
        <f>'список продуктов'!B128</f>
        <v/>
      </c>
      <c r="C108" s="39" t="str">
        <f>'список продуктов'!C128</f>
        <v/>
      </c>
      <c r="D108" s="39" t="str">
        <f>'список продуктов'!D128</f>
        <v/>
      </c>
      <c r="E108" s="39" t="str">
        <f>'список продуктов'!E128</f>
        <v/>
      </c>
      <c r="F108" s="47" t="str">
        <f t="shared" si="15"/>
        <v>#N/A</v>
      </c>
      <c r="G108" s="47" t="str">
        <f t="shared" si="10"/>
        <v>Введите занчения</v>
      </c>
      <c r="H108" s="48" t="str">
        <f t="shared" si="12"/>
        <v>Введите занчения</v>
      </c>
      <c r="I108" s="14">
        <f>SUMIF('02.08'!$B$4:$B$11,A104,'02.08'!$C$4:$C$11)+SUMIF('02.08'!$D$4:$D$11,A104,'02.08'!$E$4:$E$11)+SUMIF('02.08'!$F$4:$F$11,A104,'02.08'!$G$4:$G$11)+SUMIF('02.08'!$H$4:$H$11,A104,'02.08'!$I$4:$I$11)+SUMIF('02.08'!$J$4:$J$11,A104,'02.08'!$K$4:$K$11)+SUMIF('02.08'!$L$4:$L$11,A104,'02.08'!$M$4:$M$11)+SUMIF('02.08'!$N$4:$N$11,A104,'02.08'!$O$4:$O$11)</f>
        <v>0</v>
      </c>
      <c r="J108" s="15">
        <f>SUMIF('03.08'!$B$4:$B$11,A104,'03.08'!$C$4:$C$11)+SUMIF('03.08'!$D$4:$D$11,A104,'03.08'!$E$4:$E$11)+SUMIF('03.08'!$F$4:$F$11,A104,'03.08'!$G$4:$G$11)+SUMIF('03.08'!$H$4:$H$11,A104,'03.08'!$I$4:$I$11)+SUMIF('03.08'!$J$4:$J$11,A104,'03.08'!$K$4:$K$11)+SUMIF('03.08'!$L$4:$L$11,A104,'03.08'!$M$4:$M$11)+SUMIF('03.08'!$N$4:$N$11,A104,'03.08'!$O$4:$O$11)</f>
        <v>0</v>
      </c>
      <c r="K108" s="15">
        <f>SUMIF('04.08'!$B$4:$B$11,A104,'04.08'!$C$4:$C$11)+SUMIF('04.08'!$D$4:$D$11,A104,'04.08'!$E$4:$E$11)+SUMIF('04.08'!$F$4:$F$11,A104,'04.08'!$G$4:$G$11)+SUMIF('04.08'!$H$4:$H$11,A104,'04.08'!$I$4:$I$11)+SUMIF('04.08'!$J$4:$J$11,A104,'04.08'!$K$4:$K$11)+SUMIF('04.08'!$L$4:$L$11,A104,'04.08'!$M$4:$M$11)+SUMIF('04.08'!$N$4:$N$11,A104,'04.08'!$O$4:$O$11)</f>
        <v>0</v>
      </c>
      <c r="L108" s="15">
        <f>SUMIF('05.08'!$B$4:$B$11,A104,'05.08'!$C$4:$C$11)+SUMIF('05.08'!$D$4:$D$11,A104,'05.08'!$E$4:$E$11)+SUMIF('05.08'!$F$4:$F$11,A104,'05.08'!$G$4:$G$11)+SUMIF('05.08'!$H$4:$H$11,A104,'05.08'!$I$4:$I$11)+SUMIF('05.08'!$J$4:$J$11,A104,'05.08'!$K$4:$K$11)+SUMIF('05.08'!$L$4:$L$11,A104,'05.08'!$M$4:$M$11)+SUMIF('05.08'!$N$4:$N$11,A104,'05.08'!$O$4:$O$11)</f>
        <v>0</v>
      </c>
      <c r="M108" s="15">
        <f>SUMIF('06.08'!$B$4:$B$11,A104,'06.08'!$C$4:$C$11)+SUMIF('06.08'!$D$4:$D$11,A104,'06.08'!$E$4:$E$11)+SUMIF('06.08'!$F$4:$F$11,A104,'06.08'!$G$4:$G$11)+SUMIF('06.08'!$H$4:$H$11,A104,'06.08'!$I$4:$I$11)+SUMIF('06.08'!$J$4:$J$11,A104,'06.08'!$K$4:$K$11)+SUMIF('06.08'!$L$4:$L$11,A104,'06.08'!$M$4:$M$11)+SUMIF('06.08'!$N$4:$N$11,A104,'06.08'!$O$4:$O$11)</f>
        <v>0</v>
      </c>
      <c r="N108" s="15">
        <f>SUMIF('07.08'!$B$4:$B$11,A104,'07.08'!$C$4:$C$11)+SUMIF('07.08'!$D$4:$D$11,A104,'07.08'!$E$4:$E$11)+SUMIF('07.08'!$F$4:$F$11,A104,'07.08'!$G$4:$G$11)+SUMIF('07.08'!$H$4:$H$11,A104,'07.08'!$I$4:$I$11)+SUMIF('07.08'!$J$4:$J$11,A104,'07.08'!$K$4:$K$11)+SUMIF('07.08'!$L$4:$L$11,A104,'07.08'!$M$4:$M$11)+SUMIF('07.08'!$N$4:$N$11,A104,'07.08'!$O$4:$O$11)</f>
        <v>0</v>
      </c>
      <c r="O108" s="15">
        <f>SUMIF('08.08'!$B$4:$B$11,A104,'08.08'!$C$4:$C$11)+SUMIF('08.08'!$D$4:$D$11,A104,'08.08'!$E$4:$E$11)+SUMIF('08.08'!$F$4:$F$11,A104,'08.08'!$G$4:$G$11)+SUMIF('08.08'!$H$4:$H$11,A104,'08.08'!$I$4:$I$11)+SUMIF('08.08'!$J$4:$J$11,A104,'08.08'!$K$4:$K$11)+SUMIF('08.08'!$L$4:$L$11,A104,'08.08'!$M$4:$M$11)+SUMIF('08.08'!$N$4:$N$11,A104,'08.08'!$O$4:$O$11)</f>
        <v>0</v>
      </c>
      <c r="P108" s="15">
        <f>SUMIF('09.08'!$B$4:$B$11,A104,'09.08'!$C$4:$C$11)+SUMIF('09.08'!$D$4:$D$11,A104,'09.08'!$E$4:$E$11)+SUMIF('09.08'!$F$4:$F$11,A104,'09.08'!$G$4:$G$11)+SUMIF('09.08'!$H$4:$H$11,A104,'09.08'!$I$4:$I$11)+SUMIF('09.08'!$J$4:$J$11,A104,'09.08'!$K$4:$K$11)+SUMIF('09.08'!$L$4:$L$11,A104,'09.08'!$M$4:$M$11)+SUMIF('09.08'!$N$4:$N$11,A104,'09.08'!$O$4:$O$11)</f>
        <v>0</v>
      </c>
      <c r="Q108" s="15">
        <f>SUMIF('10.08'!$B$4:$B$11,A104,'10.08'!$C$4:$C$11)+SUMIF('10.08'!$D$4:$D$11,A104,'10.08'!$E$4:$E$11)+SUMIF('10.08'!$F$4:$F$11,A104,'10.08'!$G$4:$G$11)+SUMIF('10.08'!$H$4:$H$11,A104,'10.08'!$I$4:$I$11)+SUMIF('10.08'!$J$4:$J$11,A104,'10.08'!$K$4:$K$11)+SUMIF('10.08'!$L$4:$L$11,A104,'10.08'!$M$4:$M$11)+SUMIF('10.08'!$N$4:$N$11,A104,'10.08'!$O$4:$O$11)</f>
        <v>0</v>
      </c>
      <c r="R108" s="16" t="str">
        <f t="shared" si="14"/>
        <v>#N/A</v>
      </c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</row>
    <row r="109">
      <c r="A109" s="39" t="str">
        <f>'список продуктов'!A129</f>
        <v/>
      </c>
      <c r="B109" s="39" t="str">
        <f>'список продуктов'!B129</f>
        <v/>
      </c>
      <c r="C109" s="39" t="str">
        <f>'список продуктов'!C129</f>
        <v/>
      </c>
      <c r="D109" s="39" t="str">
        <f>'список продуктов'!D129</f>
        <v/>
      </c>
      <c r="E109" s="39" t="str">
        <f>'список продуктов'!E129</f>
        <v/>
      </c>
      <c r="F109" s="47" t="str">
        <f t="shared" si="15"/>
        <v>#N/A</v>
      </c>
      <c r="G109" s="47" t="str">
        <f t="shared" si="10"/>
        <v>Введите занчения</v>
      </c>
      <c r="H109" s="48" t="str">
        <f t="shared" si="12"/>
        <v>Введите занчения</v>
      </c>
      <c r="I109" s="14">
        <f>SUMIF('02.08'!$B$4:$B$11,A105,'02.08'!$C$4:$C$11)+SUMIF('02.08'!$D$4:$D$11,A105,'02.08'!$E$4:$E$11)+SUMIF('02.08'!$F$4:$F$11,A105,'02.08'!$G$4:$G$11)+SUMIF('02.08'!$H$4:$H$11,A105,'02.08'!$I$4:$I$11)+SUMIF('02.08'!$J$4:$J$11,A105,'02.08'!$K$4:$K$11)+SUMIF('02.08'!$L$4:$L$11,A105,'02.08'!$M$4:$M$11)+SUMIF('02.08'!$N$4:$N$11,A105,'02.08'!$O$4:$O$11)</f>
        <v>0</v>
      </c>
      <c r="J109" s="15">
        <f>SUMIF('03.08'!$B$4:$B$11,A105,'03.08'!$C$4:$C$11)+SUMIF('03.08'!$D$4:$D$11,A105,'03.08'!$E$4:$E$11)+SUMIF('03.08'!$F$4:$F$11,A105,'03.08'!$G$4:$G$11)+SUMIF('03.08'!$H$4:$H$11,A105,'03.08'!$I$4:$I$11)+SUMIF('03.08'!$J$4:$J$11,A105,'03.08'!$K$4:$K$11)+SUMIF('03.08'!$L$4:$L$11,A105,'03.08'!$M$4:$M$11)+SUMIF('03.08'!$N$4:$N$11,A105,'03.08'!$O$4:$O$11)</f>
        <v>0</v>
      </c>
      <c r="K109" s="15">
        <f>SUMIF('04.08'!$B$4:$B$11,A105,'04.08'!$C$4:$C$11)+SUMIF('04.08'!$D$4:$D$11,A105,'04.08'!$E$4:$E$11)+SUMIF('04.08'!$F$4:$F$11,A105,'04.08'!$G$4:$G$11)+SUMIF('04.08'!$H$4:$H$11,A105,'04.08'!$I$4:$I$11)+SUMIF('04.08'!$J$4:$J$11,A105,'04.08'!$K$4:$K$11)+SUMIF('04.08'!$L$4:$L$11,A105,'04.08'!$M$4:$M$11)+SUMIF('04.08'!$N$4:$N$11,A105,'04.08'!$O$4:$O$11)</f>
        <v>0</v>
      </c>
      <c r="L109" s="15">
        <f>SUMIF('05.08'!$B$4:$B$11,A105,'05.08'!$C$4:$C$11)+SUMIF('05.08'!$D$4:$D$11,A105,'05.08'!$E$4:$E$11)+SUMIF('05.08'!$F$4:$F$11,A105,'05.08'!$G$4:$G$11)+SUMIF('05.08'!$H$4:$H$11,A105,'05.08'!$I$4:$I$11)+SUMIF('05.08'!$J$4:$J$11,A105,'05.08'!$K$4:$K$11)+SUMIF('05.08'!$L$4:$L$11,A105,'05.08'!$M$4:$M$11)+SUMIF('05.08'!$N$4:$N$11,A105,'05.08'!$O$4:$O$11)</f>
        <v>0</v>
      </c>
      <c r="M109" s="15">
        <f>SUMIF('06.08'!$B$4:$B$11,A105,'06.08'!$C$4:$C$11)+SUMIF('06.08'!$D$4:$D$11,A105,'06.08'!$E$4:$E$11)+SUMIF('06.08'!$F$4:$F$11,A105,'06.08'!$G$4:$G$11)+SUMIF('06.08'!$H$4:$H$11,A105,'06.08'!$I$4:$I$11)+SUMIF('06.08'!$J$4:$J$11,A105,'06.08'!$K$4:$K$11)+SUMIF('06.08'!$L$4:$L$11,A105,'06.08'!$M$4:$M$11)+SUMIF('06.08'!$N$4:$N$11,A105,'06.08'!$O$4:$O$11)</f>
        <v>0</v>
      </c>
      <c r="N109" s="15">
        <f>SUMIF('07.08'!$B$4:$B$11,A105,'07.08'!$C$4:$C$11)+SUMIF('07.08'!$D$4:$D$11,A105,'07.08'!$E$4:$E$11)+SUMIF('07.08'!$F$4:$F$11,A105,'07.08'!$G$4:$G$11)+SUMIF('07.08'!$H$4:$H$11,A105,'07.08'!$I$4:$I$11)+SUMIF('07.08'!$J$4:$J$11,A105,'07.08'!$K$4:$K$11)+SUMIF('07.08'!$L$4:$L$11,A105,'07.08'!$M$4:$M$11)+SUMIF('07.08'!$N$4:$N$11,A105,'07.08'!$O$4:$O$11)</f>
        <v>0</v>
      </c>
      <c r="O109" s="15">
        <f>SUMIF('08.08'!$B$4:$B$11,A105,'08.08'!$C$4:$C$11)+SUMIF('08.08'!$D$4:$D$11,A105,'08.08'!$E$4:$E$11)+SUMIF('08.08'!$F$4:$F$11,A105,'08.08'!$G$4:$G$11)+SUMIF('08.08'!$H$4:$H$11,A105,'08.08'!$I$4:$I$11)+SUMIF('08.08'!$J$4:$J$11,A105,'08.08'!$K$4:$K$11)+SUMIF('08.08'!$L$4:$L$11,A105,'08.08'!$M$4:$M$11)+SUMIF('08.08'!$N$4:$N$11,A105,'08.08'!$O$4:$O$11)</f>
        <v>0</v>
      </c>
      <c r="P109" s="15">
        <f>SUMIF('09.08'!$B$4:$B$11,A105,'09.08'!$C$4:$C$11)+SUMIF('09.08'!$D$4:$D$11,A105,'09.08'!$E$4:$E$11)+SUMIF('09.08'!$F$4:$F$11,A105,'09.08'!$G$4:$G$11)+SUMIF('09.08'!$H$4:$H$11,A105,'09.08'!$I$4:$I$11)+SUMIF('09.08'!$J$4:$J$11,A105,'09.08'!$K$4:$K$11)+SUMIF('09.08'!$L$4:$L$11,A105,'09.08'!$M$4:$M$11)+SUMIF('09.08'!$N$4:$N$11,A105,'09.08'!$O$4:$O$11)</f>
        <v>0</v>
      </c>
      <c r="Q109" s="15">
        <f>SUMIF('10.08'!$B$4:$B$11,A105,'10.08'!$C$4:$C$11)+SUMIF('10.08'!$D$4:$D$11,A105,'10.08'!$E$4:$E$11)+SUMIF('10.08'!$F$4:$F$11,A105,'10.08'!$G$4:$G$11)+SUMIF('10.08'!$H$4:$H$11,A105,'10.08'!$I$4:$I$11)+SUMIF('10.08'!$J$4:$J$11,A105,'10.08'!$K$4:$K$11)+SUMIF('10.08'!$L$4:$L$11,A105,'10.08'!$M$4:$M$11)+SUMIF('10.08'!$N$4:$N$11,A105,'10.08'!$O$4:$O$11)</f>
        <v>0</v>
      </c>
      <c r="R109" s="16" t="str">
        <f t="shared" si="14"/>
        <v>#N/A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</row>
    <row r="110">
      <c r="A110" s="39" t="str">
        <f>'список продуктов'!A130</f>
        <v/>
      </c>
      <c r="B110" s="39" t="str">
        <f>'список продуктов'!B130</f>
        <v/>
      </c>
      <c r="C110" s="39" t="str">
        <f>'список продуктов'!C130</f>
        <v/>
      </c>
      <c r="D110" s="39" t="str">
        <f>'список продуктов'!D130</f>
        <v/>
      </c>
      <c r="E110" s="39" t="str">
        <f>'список продуктов'!E130</f>
        <v/>
      </c>
      <c r="F110" s="47" t="str">
        <f t="shared" si="15"/>
        <v>#N/A</v>
      </c>
      <c r="G110" s="47" t="str">
        <f t="shared" si="10"/>
        <v>Введите занчения</v>
      </c>
      <c r="H110" s="48" t="str">
        <f t="shared" si="12"/>
        <v>Введите занчения</v>
      </c>
      <c r="I110" s="14">
        <f>SUMIF('02.08'!$B$4:$B$11,A106,'02.08'!$C$4:$C$11)+SUMIF('02.08'!$D$4:$D$11,A106,'02.08'!$E$4:$E$11)+SUMIF('02.08'!$F$4:$F$11,A106,'02.08'!$G$4:$G$11)+SUMIF('02.08'!$H$4:$H$11,A106,'02.08'!$I$4:$I$11)+SUMIF('02.08'!$J$4:$J$11,A106,'02.08'!$K$4:$K$11)+SUMIF('02.08'!$L$4:$L$11,A106,'02.08'!$M$4:$M$11)+SUMIF('02.08'!$N$4:$N$11,A106,'02.08'!$O$4:$O$11)</f>
        <v>0</v>
      </c>
      <c r="J110" s="15">
        <f>SUMIF('03.08'!$B$4:$B$11,A106,'03.08'!$C$4:$C$11)+SUMIF('03.08'!$D$4:$D$11,A106,'03.08'!$E$4:$E$11)+SUMIF('03.08'!$F$4:$F$11,A106,'03.08'!$G$4:$G$11)+SUMIF('03.08'!$H$4:$H$11,A106,'03.08'!$I$4:$I$11)+SUMIF('03.08'!$J$4:$J$11,A106,'03.08'!$K$4:$K$11)+SUMIF('03.08'!$L$4:$L$11,A106,'03.08'!$M$4:$M$11)+SUMIF('03.08'!$N$4:$N$11,A106,'03.08'!$O$4:$O$11)</f>
        <v>0</v>
      </c>
      <c r="K110" s="15">
        <f>SUMIF('04.08'!$B$4:$B$11,A106,'04.08'!$C$4:$C$11)+SUMIF('04.08'!$D$4:$D$11,A106,'04.08'!$E$4:$E$11)+SUMIF('04.08'!$F$4:$F$11,A106,'04.08'!$G$4:$G$11)+SUMIF('04.08'!$H$4:$H$11,A106,'04.08'!$I$4:$I$11)+SUMIF('04.08'!$J$4:$J$11,A106,'04.08'!$K$4:$K$11)+SUMIF('04.08'!$L$4:$L$11,A106,'04.08'!$M$4:$M$11)+SUMIF('04.08'!$N$4:$N$11,A106,'04.08'!$O$4:$O$11)</f>
        <v>0</v>
      </c>
      <c r="L110" s="15">
        <f>SUMIF('05.08'!$B$4:$B$11,A106,'05.08'!$C$4:$C$11)+SUMIF('05.08'!$D$4:$D$11,A106,'05.08'!$E$4:$E$11)+SUMIF('05.08'!$F$4:$F$11,A106,'05.08'!$G$4:$G$11)+SUMIF('05.08'!$H$4:$H$11,A106,'05.08'!$I$4:$I$11)+SUMIF('05.08'!$J$4:$J$11,A106,'05.08'!$K$4:$K$11)+SUMIF('05.08'!$L$4:$L$11,A106,'05.08'!$M$4:$M$11)+SUMIF('05.08'!$N$4:$N$11,A106,'05.08'!$O$4:$O$11)</f>
        <v>0</v>
      </c>
      <c r="M110" s="15">
        <f>SUMIF('06.08'!$B$4:$B$11,A106,'06.08'!$C$4:$C$11)+SUMIF('06.08'!$D$4:$D$11,A106,'06.08'!$E$4:$E$11)+SUMIF('06.08'!$F$4:$F$11,A106,'06.08'!$G$4:$G$11)+SUMIF('06.08'!$H$4:$H$11,A106,'06.08'!$I$4:$I$11)+SUMIF('06.08'!$J$4:$J$11,A106,'06.08'!$K$4:$K$11)+SUMIF('06.08'!$L$4:$L$11,A106,'06.08'!$M$4:$M$11)+SUMIF('06.08'!$N$4:$N$11,A106,'06.08'!$O$4:$O$11)</f>
        <v>0</v>
      </c>
      <c r="N110" s="15">
        <f>SUMIF('07.08'!$B$4:$B$11,A106,'07.08'!$C$4:$C$11)+SUMIF('07.08'!$D$4:$D$11,A106,'07.08'!$E$4:$E$11)+SUMIF('07.08'!$F$4:$F$11,A106,'07.08'!$G$4:$G$11)+SUMIF('07.08'!$H$4:$H$11,A106,'07.08'!$I$4:$I$11)+SUMIF('07.08'!$J$4:$J$11,A106,'07.08'!$K$4:$K$11)+SUMIF('07.08'!$L$4:$L$11,A106,'07.08'!$M$4:$M$11)+SUMIF('07.08'!$N$4:$N$11,A106,'07.08'!$O$4:$O$11)</f>
        <v>0</v>
      </c>
      <c r="O110" s="15">
        <f>SUMIF('08.08'!$B$4:$B$11,A106,'08.08'!$C$4:$C$11)+SUMIF('08.08'!$D$4:$D$11,A106,'08.08'!$E$4:$E$11)+SUMIF('08.08'!$F$4:$F$11,A106,'08.08'!$G$4:$G$11)+SUMIF('08.08'!$H$4:$H$11,A106,'08.08'!$I$4:$I$11)+SUMIF('08.08'!$J$4:$J$11,A106,'08.08'!$K$4:$K$11)+SUMIF('08.08'!$L$4:$L$11,A106,'08.08'!$M$4:$M$11)+SUMIF('08.08'!$N$4:$N$11,A106,'08.08'!$O$4:$O$11)</f>
        <v>0</v>
      </c>
      <c r="P110" s="15">
        <f>SUMIF('09.08'!$B$4:$B$11,A106,'09.08'!$C$4:$C$11)+SUMIF('09.08'!$D$4:$D$11,A106,'09.08'!$E$4:$E$11)+SUMIF('09.08'!$F$4:$F$11,A106,'09.08'!$G$4:$G$11)+SUMIF('09.08'!$H$4:$H$11,A106,'09.08'!$I$4:$I$11)+SUMIF('09.08'!$J$4:$J$11,A106,'09.08'!$K$4:$K$11)+SUMIF('09.08'!$L$4:$L$11,A106,'09.08'!$M$4:$M$11)+SUMIF('09.08'!$N$4:$N$11,A106,'09.08'!$O$4:$O$11)</f>
        <v>0</v>
      </c>
      <c r="Q110" s="15">
        <f>SUMIF('10.08'!$B$4:$B$11,A106,'10.08'!$C$4:$C$11)+SUMIF('10.08'!$D$4:$D$11,A106,'10.08'!$E$4:$E$11)+SUMIF('10.08'!$F$4:$F$11,A106,'10.08'!$G$4:$G$11)+SUMIF('10.08'!$H$4:$H$11,A106,'10.08'!$I$4:$I$11)+SUMIF('10.08'!$J$4:$J$11,A106,'10.08'!$K$4:$K$11)+SUMIF('10.08'!$L$4:$L$11,A106,'10.08'!$M$4:$M$11)+SUMIF('10.08'!$N$4:$N$11,A106,'10.08'!$O$4:$O$11)</f>
        <v>0</v>
      </c>
      <c r="R110" s="16" t="str">
        <f t="shared" si="14"/>
        <v>#N/A</v>
      </c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</row>
    <row r="111">
      <c r="A111" s="39" t="str">
        <f>'список продуктов'!A131</f>
        <v/>
      </c>
      <c r="B111" s="39" t="str">
        <f>'список продуктов'!B131</f>
        <v/>
      </c>
      <c r="C111" s="39" t="str">
        <f>'список продуктов'!C131</f>
        <v/>
      </c>
      <c r="D111" s="39" t="str">
        <f>'список продуктов'!D131</f>
        <v/>
      </c>
      <c r="E111" s="39" t="str">
        <f>'список продуктов'!E131</f>
        <v/>
      </c>
      <c r="F111" s="47" t="str">
        <f t="shared" si="15"/>
        <v>#N/A</v>
      </c>
      <c r="G111" s="47" t="str">
        <f t="shared" si="10"/>
        <v>Введите занчения</v>
      </c>
      <c r="H111" s="48" t="str">
        <f t="shared" si="12"/>
        <v>Введите занчения</v>
      </c>
      <c r="I111" s="14">
        <f>SUMIF('02.08'!$B$4:$B$11,A107,'02.08'!$C$4:$C$11)+SUMIF('02.08'!$D$4:$D$11,A107,'02.08'!$E$4:$E$11)+SUMIF('02.08'!$F$4:$F$11,A107,'02.08'!$G$4:$G$11)+SUMIF('02.08'!$H$4:$H$11,A107,'02.08'!$I$4:$I$11)+SUMIF('02.08'!$J$4:$J$11,A107,'02.08'!$K$4:$K$11)+SUMIF('02.08'!$L$4:$L$11,A107,'02.08'!$M$4:$M$11)+SUMIF('02.08'!$N$4:$N$11,A107,'02.08'!$O$4:$O$11)</f>
        <v>0</v>
      </c>
      <c r="J111" s="15">
        <f>SUMIF('03.08'!$B$4:$B$11,A107,'03.08'!$C$4:$C$11)+SUMIF('03.08'!$D$4:$D$11,A107,'03.08'!$E$4:$E$11)+SUMIF('03.08'!$F$4:$F$11,A107,'03.08'!$G$4:$G$11)+SUMIF('03.08'!$H$4:$H$11,A107,'03.08'!$I$4:$I$11)+SUMIF('03.08'!$J$4:$J$11,A107,'03.08'!$K$4:$K$11)+SUMIF('03.08'!$L$4:$L$11,A107,'03.08'!$M$4:$M$11)+SUMIF('03.08'!$N$4:$N$11,A107,'03.08'!$O$4:$O$11)</f>
        <v>0</v>
      </c>
      <c r="K111" s="15">
        <f>SUMIF('04.08'!$B$4:$B$11,A107,'04.08'!$C$4:$C$11)+SUMIF('04.08'!$D$4:$D$11,A107,'04.08'!$E$4:$E$11)+SUMIF('04.08'!$F$4:$F$11,A107,'04.08'!$G$4:$G$11)+SUMIF('04.08'!$H$4:$H$11,A107,'04.08'!$I$4:$I$11)+SUMIF('04.08'!$J$4:$J$11,A107,'04.08'!$K$4:$K$11)+SUMIF('04.08'!$L$4:$L$11,A107,'04.08'!$M$4:$M$11)+SUMIF('04.08'!$N$4:$N$11,A107,'04.08'!$O$4:$O$11)</f>
        <v>0</v>
      </c>
      <c r="L111" s="15">
        <f>SUMIF('05.08'!$B$4:$B$11,A107,'05.08'!$C$4:$C$11)+SUMIF('05.08'!$D$4:$D$11,A107,'05.08'!$E$4:$E$11)+SUMIF('05.08'!$F$4:$F$11,A107,'05.08'!$G$4:$G$11)+SUMIF('05.08'!$H$4:$H$11,A107,'05.08'!$I$4:$I$11)+SUMIF('05.08'!$J$4:$J$11,A107,'05.08'!$K$4:$K$11)+SUMIF('05.08'!$L$4:$L$11,A107,'05.08'!$M$4:$M$11)+SUMIF('05.08'!$N$4:$N$11,A107,'05.08'!$O$4:$O$11)</f>
        <v>0</v>
      </c>
      <c r="M111" s="15">
        <f>SUMIF('06.08'!$B$4:$B$11,A107,'06.08'!$C$4:$C$11)+SUMIF('06.08'!$D$4:$D$11,A107,'06.08'!$E$4:$E$11)+SUMIF('06.08'!$F$4:$F$11,A107,'06.08'!$G$4:$G$11)+SUMIF('06.08'!$H$4:$H$11,A107,'06.08'!$I$4:$I$11)+SUMIF('06.08'!$J$4:$J$11,A107,'06.08'!$K$4:$K$11)+SUMIF('06.08'!$L$4:$L$11,A107,'06.08'!$M$4:$M$11)+SUMIF('06.08'!$N$4:$N$11,A107,'06.08'!$O$4:$O$11)</f>
        <v>0</v>
      </c>
      <c r="N111" s="15">
        <f>SUMIF('07.08'!$B$4:$B$11,A107,'07.08'!$C$4:$C$11)+SUMIF('07.08'!$D$4:$D$11,A107,'07.08'!$E$4:$E$11)+SUMIF('07.08'!$F$4:$F$11,A107,'07.08'!$G$4:$G$11)+SUMIF('07.08'!$H$4:$H$11,A107,'07.08'!$I$4:$I$11)+SUMIF('07.08'!$J$4:$J$11,A107,'07.08'!$K$4:$K$11)+SUMIF('07.08'!$L$4:$L$11,A107,'07.08'!$M$4:$M$11)+SUMIF('07.08'!$N$4:$N$11,A107,'07.08'!$O$4:$O$11)</f>
        <v>0</v>
      </c>
      <c r="O111" s="15">
        <f>SUMIF('08.08'!$B$4:$B$11,A107,'08.08'!$C$4:$C$11)+SUMIF('08.08'!$D$4:$D$11,A107,'08.08'!$E$4:$E$11)+SUMIF('08.08'!$F$4:$F$11,A107,'08.08'!$G$4:$G$11)+SUMIF('08.08'!$H$4:$H$11,A107,'08.08'!$I$4:$I$11)+SUMIF('08.08'!$J$4:$J$11,A107,'08.08'!$K$4:$K$11)+SUMIF('08.08'!$L$4:$L$11,A107,'08.08'!$M$4:$M$11)+SUMIF('08.08'!$N$4:$N$11,A107,'08.08'!$O$4:$O$11)</f>
        <v>0</v>
      </c>
      <c r="P111" s="15">
        <f>SUMIF('09.08'!$B$4:$B$11,A107,'09.08'!$C$4:$C$11)+SUMIF('09.08'!$D$4:$D$11,A107,'09.08'!$E$4:$E$11)+SUMIF('09.08'!$F$4:$F$11,A107,'09.08'!$G$4:$G$11)+SUMIF('09.08'!$H$4:$H$11,A107,'09.08'!$I$4:$I$11)+SUMIF('09.08'!$J$4:$J$11,A107,'09.08'!$K$4:$K$11)+SUMIF('09.08'!$L$4:$L$11,A107,'09.08'!$M$4:$M$11)+SUMIF('09.08'!$N$4:$N$11,A107,'09.08'!$O$4:$O$11)</f>
        <v>0</v>
      </c>
      <c r="Q111" s="15">
        <f>SUMIF('10.08'!$B$4:$B$11,A107,'10.08'!$C$4:$C$11)+SUMIF('10.08'!$D$4:$D$11,A107,'10.08'!$E$4:$E$11)+SUMIF('10.08'!$F$4:$F$11,A107,'10.08'!$G$4:$G$11)+SUMIF('10.08'!$H$4:$H$11,A107,'10.08'!$I$4:$I$11)+SUMIF('10.08'!$J$4:$J$11,A107,'10.08'!$K$4:$K$11)+SUMIF('10.08'!$L$4:$L$11,A107,'10.08'!$M$4:$M$11)+SUMIF('10.08'!$N$4:$N$11,A107,'10.08'!$O$4:$O$11)</f>
        <v>0</v>
      </c>
      <c r="R111" s="16" t="str">
        <f t="shared" si="14"/>
        <v>#N/A</v>
      </c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</row>
    <row r="112">
      <c r="A112" s="39" t="str">
        <f>'список продуктов'!A132</f>
        <v/>
      </c>
      <c r="B112" s="39" t="str">
        <f>'список продуктов'!B132</f>
        <v/>
      </c>
      <c r="C112" s="39" t="str">
        <f>'список продуктов'!C132</f>
        <v/>
      </c>
      <c r="D112" s="39" t="str">
        <f>'список продуктов'!D132</f>
        <v/>
      </c>
      <c r="E112" s="39" t="str">
        <f>'список продуктов'!E132</f>
        <v/>
      </c>
      <c r="F112" s="47" t="str">
        <f t="shared" si="15"/>
        <v>#N/A</v>
      </c>
      <c r="G112" s="47" t="str">
        <f t="shared" si="10"/>
        <v>Введите занчения</v>
      </c>
      <c r="H112" s="48" t="str">
        <f t="shared" si="12"/>
        <v>Введите занчения</v>
      </c>
      <c r="I112" s="14">
        <f>SUMIF('02.08'!$B$4:$B$11,A108,'02.08'!$C$4:$C$11)+SUMIF('02.08'!$D$4:$D$11,A108,'02.08'!$E$4:$E$11)+SUMIF('02.08'!$F$4:$F$11,A108,'02.08'!$G$4:$G$11)+SUMIF('02.08'!$H$4:$H$11,A108,'02.08'!$I$4:$I$11)+SUMIF('02.08'!$J$4:$J$11,A108,'02.08'!$K$4:$K$11)+SUMIF('02.08'!$L$4:$L$11,A108,'02.08'!$M$4:$M$11)+SUMIF('02.08'!$N$4:$N$11,A108,'02.08'!$O$4:$O$11)</f>
        <v>0</v>
      </c>
      <c r="J112" s="15">
        <f>SUMIF('03.08'!$B$4:$B$11,A108,'03.08'!$C$4:$C$11)+SUMIF('03.08'!$D$4:$D$11,A108,'03.08'!$E$4:$E$11)+SUMIF('03.08'!$F$4:$F$11,A108,'03.08'!$G$4:$G$11)+SUMIF('03.08'!$H$4:$H$11,A108,'03.08'!$I$4:$I$11)+SUMIF('03.08'!$J$4:$J$11,A108,'03.08'!$K$4:$K$11)+SUMIF('03.08'!$L$4:$L$11,A108,'03.08'!$M$4:$M$11)+SUMIF('03.08'!$N$4:$N$11,A108,'03.08'!$O$4:$O$11)</f>
        <v>0</v>
      </c>
      <c r="K112" s="15">
        <f>SUMIF('04.08'!$B$4:$B$11,A108,'04.08'!$C$4:$C$11)+SUMIF('04.08'!$D$4:$D$11,A108,'04.08'!$E$4:$E$11)+SUMIF('04.08'!$F$4:$F$11,A108,'04.08'!$G$4:$G$11)+SUMIF('04.08'!$H$4:$H$11,A108,'04.08'!$I$4:$I$11)+SUMIF('04.08'!$J$4:$J$11,A108,'04.08'!$K$4:$K$11)+SUMIF('04.08'!$L$4:$L$11,A108,'04.08'!$M$4:$M$11)+SUMIF('04.08'!$N$4:$N$11,A108,'04.08'!$O$4:$O$11)</f>
        <v>0</v>
      </c>
      <c r="L112" s="15">
        <f>SUMIF('05.08'!$B$4:$B$11,A108,'05.08'!$C$4:$C$11)+SUMIF('05.08'!$D$4:$D$11,A108,'05.08'!$E$4:$E$11)+SUMIF('05.08'!$F$4:$F$11,A108,'05.08'!$G$4:$G$11)+SUMIF('05.08'!$H$4:$H$11,A108,'05.08'!$I$4:$I$11)+SUMIF('05.08'!$J$4:$J$11,A108,'05.08'!$K$4:$K$11)+SUMIF('05.08'!$L$4:$L$11,A108,'05.08'!$M$4:$M$11)+SUMIF('05.08'!$N$4:$N$11,A108,'05.08'!$O$4:$O$11)</f>
        <v>0</v>
      </c>
      <c r="M112" s="15">
        <f>SUMIF('06.08'!$B$4:$B$11,A108,'06.08'!$C$4:$C$11)+SUMIF('06.08'!$D$4:$D$11,A108,'06.08'!$E$4:$E$11)+SUMIF('06.08'!$F$4:$F$11,A108,'06.08'!$G$4:$G$11)+SUMIF('06.08'!$H$4:$H$11,A108,'06.08'!$I$4:$I$11)+SUMIF('06.08'!$J$4:$J$11,A108,'06.08'!$K$4:$K$11)+SUMIF('06.08'!$L$4:$L$11,A108,'06.08'!$M$4:$M$11)+SUMIF('06.08'!$N$4:$N$11,A108,'06.08'!$O$4:$O$11)</f>
        <v>0</v>
      </c>
      <c r="N112" s="15">
        <f>SUMIF('07.08'!$B$4:$B$11,A108,'07.08'!$C$4:$C$11)+SUMIF('07.08'!$D$4:$D$11,A108,'07.08'!$E$4:$E$11)+SUMIF('07.08'!$F$4:$F$11,A108,'07.08'!$G$4:$G$11)+SUMIF('07.08'!$H$4:$H$11,A108,'07.08'!$I$4:$I$11)+SUMIF('07.08'!$J$4:$J$11,A108,'07.08'!$K$4:$K$11)+SUMIF('07.08'!$L$4:$L$11,A108,'07.08'!$M$4:$M$11)+SUMIF('07.08'!$N$4:$N$11,A108,'07.08'!$O$4:$O$11)</f>
        <v>0</v>
      </c>
      <c r="O112" s="15">
        <f>SUMIF('08.08'!$B$4:$B$11,A108,'08.08'!$C$4:$C$11)+SUMIF('08.08'!$D$4:$D$11,A108,'08.08'!$E$4:$E$11)+SUMIF('08.08'!$F$4:$F$11,A108,'08.08'!$G$4:$G$11)+SUMIF('08.08'!$H$4:$H$11,A108,'08.08'!$I$4:$I$11)+SUMIF('08.08'!$J$4:$J$11,A108,'08.08'!$K$4:$K$11)+SUMIF('08.08'!$L$4:$L$11,A108,'08.08'!$M$4:$M$11)+SUMIF('08.08'!$N$4:$N$11,A108,'08.08'!$O$4:$O$11)</f>
        <v>0</v>
      </c>
      <c r="P112" s="15">
        <f>SUMIF('09.08'!$B$4:$B$11,A108,'09.08'!$C$4:$C$11)+SUMIF('09.08'!$D$4:$D$11,A108,'09.08'!$E$4:$E$11)+SUMIF('09.08'!$F$4:$F$11,A108,'09.08'!$G$4:$G$11)+SUMIF('09.08'!$H$4:$H$11,A108,'09.08'!$I$4:$I$11)+SUMIF('09.08'!$J$4:$J$11,A108,'09.08'!$K$4:$K$11)+SUMIF('09.08'!$L$4:$L$11,A108,'09.08'!$M$4:$M$11)+SUMIF('09.08'!$N$4:$N$11,A108,'09.08'!$O$4:$O$11)</f>
        <v>0</v>
      </c>
      <c r="Q112" s="15">
        <f>SUMIF('10.08'!$B$4:$B$11,A108,'10.08'!$C$4:$C$11)+SUMIF('10.08'!$D$4:$D$11,A108,'10.08'!$E$4:$E$11)+SUMIF('10.08'!$F$4:$F$11,A108,'10.08'!$G$4:$G$11)+SUMIF('10.08'!$H$4:$H$11,A108,'10.08'!$I$4:$I$11)+SUMIF('10.08'!$J$4:$J$11,A108,'10.08'!$K$4:$K$11)+SUMIF('10.08'!$L$4:$L$11,A108,'10.08'!$M$4:$M$11)+SUMIF('10.08'!$N$4:$N$11,A108,'10.08'!$O$4:$O$11)</f>
        <v>0</v>
      </c>
      <c r="R112" s="16" t="str">
        <f t="shared" si="14"/>
        <v>#N/A</v>
      </c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>
      <c r="A113" s="39" t="str">
        <f>'список продуктов'!A133</f>
        <v/>
      </c>
      <c r="B113" s="39" t="str">
        <f>'список продуктов'!B133</f>
        <v/>
      </c>
      <c r="C113" s="39" t="str">
        <f>'список продуктов'!C133</f>
        <v/>
      </c>
      <c r="D113" s="39" t="str">
        <f>'список продуктов'!D133</f>
        <v/>
      </c>
      <c r="E113" s="39" t="str">
        <f>'список продуктов'!E133</f>
        <v/>
      </c>
      <c r="F113" s="47" t="str">
        <f t="shared" si="15"/>
        <v>#N/A</v>
      </c>
      <c r="G113" s="47" t="str">
        <f t="shared" si="10"/>
        <v>Введите занчения</v>
      </c>
      <c r="H113" s="48" t="str">
        <f t="shared" si="12"/>
        <v>Введите занчения</v>
      </c>
      <c r="I113" s="14">
        <f>SUMIF('02.08'!$B$4:$B$11,A109,'02.08'!$C$4:$C$11)+SUMIF('02.08'!$D$4:$D$11,A109,'02.08'!$E$4:$E$11)+SUMIF('02.08'!$F$4:$F$11,A109,'02.08'!$G$4:$G$11)+SUMIF('02.08'!$H$4:$H$11,A109,'02.08'!$I$4:$I$11)+SUMIF('02.08'!$J$4:$J$11,A109,'02.08'!$K$4:$K$11)+SUMIF('02.08'!$L$4:$L$11,A109,'02.08'!$M$4:$M$11)+SUMIF('02.08'!$N$4:$N$11,A109,'02.08'!$O$4:$O$11)</f>
        <v>0</v>
      </c>
      <c r="J113" s="15">
        <f>SUMIF('03.08'!$B$4:$B$11,A109,'03.08'!$C$4:$C$11)+SUMIF('03.08'!$D$4:$D$11,A109,'03.08'!$E$4:$E$11)+SUMIF('03.08'!$F$4:$F$11,A109,'03.08'!$G$4:$G$11)+SUMIF('03.08'!$H$4:$H$11,A109,'03.08'!$I$4:$I$11)+SUMIF('03.08'!$J$4:$J$11,A109,'03.08'!$K$4:$K$11)+SUMIF('03.08'!$L$4:$L$11,A109,'03.08'!$M$4:$M$11)+SUMIF('03.08'!$N$4:$N$11,A109,'03.08'!$O$4:$O$11)</f>
        <v>0</v>
      </c>
      <c r="K113" s="15">
        <f>SUMIF('04.08'!$B$4:$B$11,A109,'04.08'!$C$4:$C$11)+SUMIF('04.08'!$D$4:$D$11,A109,'04.08'!$E$4:$E$11)+SUMIF('04.08'!$F$4:$F$11,A109,'04.08'!$G$4:$G$11)+SUMIF('04.08'!$H$4:$H$11,A109,'04.08'!$I$4:$I$11)+SUMIF('04.08'!$J$4:$J$11,A109,'04.08'!$K$4:$K$11)+SUMIF('04.08'!$L$4:$L$11,A109,'04.08'!$M$4:$M$11)+SUMIF('04.08'!$N$4:$N$11,A109,'04.08'!$O$4:$O$11)</f>
        <v>0</v>
      </c>
      <c r="L113" s="15">
        <f>SUMIF('05.08'!$B$4:$B$11,A109,'05.08'!$C$4:$C$11)+SUMIF('05.08'!$D$4:$D$11,A109,'05.08'!$E$4:$E$11)+SUMIF('05.08'!$F$4:$F$11,A109,'05.08'!$G$4:$G$11)+SUMIF('05.08'!$H$4:$H$11,A109,'05.08'!$I$4:$I$11)+SUMIF('05.08'!$J$4:$J$11,A109,'05.08'!$K$4:$K$11)+SUMIF('05.08'!$L$4:$L$11,A109,'05.08'!$M$4:$M$11)+SUMIF('05.08'!$N$4:$N$11,A109,'05.08'!$O$4:$O$11)</f>
        <v>0</v>
      </c>
      <c r="M113" s="15">
        <f>SUMIF('06.08'!$B$4:$B$11,A109,'06.08'!$C$4:$C$11)+SUMIF('06.08'!$D$4:$D$11,A109,'06.08'!$E$4:$E$11)+SUMIF('06.08'!$F$4:$F$11,A109,'06.08'!$G$4:$G$11)+SUMIF('06.08'!$H$4:$H$11,A109,'06.08'!$I$4:$I$11)+SUMIF('06.08'!$J$4:$J$11,A109,'06.08'!$K$4:$K$11)+SUMIF('06.08'!$L$4:$L$11,A109,'06.08'!$M$4:$M$11)+SUMIF('06.08'!$N$4:$N$11,A109,'06.08'!$O$4:$O$11)</f>
        <v>0</v>
      </c>
      <c r="N113" s="15">
        <f>SUMIF('07.08'!$B$4:$B$11,A109,'07.08'!$C$4:$C$11)+SUMIF('07.08'!$D$4:$D$11,A109,'07.08'!$E$4:$E$11)+SUMIF('07.08'!$F$4:$F$11,A109,'07.08'!$G$4:$G$11)+SUMIF('07.08'!$H$4:$H$11,A109,'07.08'!$I$4:$I$11)+SUMIF('07.08'!$J$4:$J$11,A109,'07.08'!$K$4:$K$11)+SUMIF('07.08'!$L$4:$L$11,A109,'07.08'!$M$4:$M$11)+SUMIF('07.08'!$N$4:$N$11,A109,'07.08'!$O$4:$O$11)</f>
        <v>0</v>
      </c>
      <c r="O113" s="15">
        <f>SUMIF('08.08'!$B$4:$B$11,A109,'08.08'!$C$4:$C$11)+SUMIF('08.08'!$D$4:$D$11,A109,'08.08'!$E$4:$E$11)+SUMIF('08.08'!$F$4:$F$11,A109,'08.08'!$G$4:$G$11)+SUMIF('08.08'!$H$4:$H$11,A109,'08.08'!$I$4:$I$11)+SUMIF('08.08'!$J$4:$J$11,A109,'08.08'!$K$4:$K$11)+SUMIF('08.08'!$L$4:$L$11,A109,'08.08'!$M$4:$M$11)+SUMIF('08.08'!$N$4:$N$11,A109,'08.08'!$O$4:$O$11)</f>
        <v>0</v>
      </c>
      <c r="P113" s="15">
        <f>SUMIF('09.08'!$B$4:$B$11,A109,'09.08'!$C$4:$C$11)+SUMIF('09.08'!$D$4:$D$11,A109,'09.08'!$E$4:$E$11)+SUMIF('09.08'!$F$4:$F$11,A109,'09.08'!$G$4:$G$11)+SUMIF('09.08'!$H$4:$H$11,A109,'09.08'!$I$4:$I$11)+SUMIF('09.08'!$J$4:$J$11,A109,'09.08'!$K$4:$K$11)+SUMIF('09.08'!$L$4:$L$11,A109,'09.08'!$M$4:$M$11)+SUMIF('09.08'!$N$4:$N$11,A109,'09.08'!$O$4:$O$11)</f>
        <v>0</v>
      </c>
      <c r="Q113" s="15">
        <f>SUMIF('10.08'!$B$4:$B$11,A109,'10.08'!$C$4:$C$11)+SUMIF('10.08'!$D$4:$D$11,A109,'10.08'!$E$4:$E$11)+SUMIF('10.08'!$F$4:$F$11,A109,'10.08'!$G$4:$G$11)+SUMIF('10.08'!$H$4:$H$11,A109,'10.08'!$I$4:$I$11)+SUMIF('10.08'!$J$4:$J$11,A109,'10.08'!$K$4:$K$11)+SUMIF('10.08'!$L$4:$L$11,A109,'10.08'!$M$4:$M$11)+SUMIF('10.08'!$N$4:$N$11,A109,'10.08'!$O$4:$O$11)</f>
        <v>0</v>
      </c>
      <c r="R113" s="16" t="str">
        <f t="shared" si="14"/>
        <v>#N/A</v>
      </c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</row>
    <row r="114">
      <c r="A114" s="39" t="str">
        <f>'список продуктов'!A134</f>
        <v/>
      </c>
      <c r="B114" s="39" t="str">
        <f>'список продуктов'!B134</f>
        <v/>
      </c>
      <c r="C114" s="39" t="str">
        <f>'список продуктов'!C134</f>
        <v/>
      </c>
      <c r="D114" s="39" t="str">
        <f>'список продуктов'!D134</f>
        <v/>
      </c>
      <c r="E114" s="39" t="str">
        <f>'список продуктов'!E134</f>
        <v/>
      </c>
      <c r="F114" s="47" t="str">
        <f t="shared" si="15"/>
        <v>#N/A</v>
      </c>
      <c r="G114" s="47" t="str">
        <f t="shared" si="10"/>
        <v>Введите занчения</v>
      </c>
      <c r="H114" s="48" t="str">
        <f t="shared" si="12"/>
        <v>Введите занчения</v>
      </c>
      <c r="I114" s="14">
        <f>SUMIF('02.08'!$B$4:$B$11,A110,'02.08'!$C$4:$C$11)+SUMIF('02.08'!$D$4:$D$11,A110,'02.08'!$E$4:$E$11)+SUMIF('02.08'!$F$4:$F$11,A110,'02.08'!$G$4:$G$11)+SUMIF('02.08'!$H$4:$H$11,A110,'02.08'!$I$4:$I$11)+SUMIF('02.08'!$J$4:$J$11,A110,'02.08'!$K$4:$K$11)+SUMIF('02.08'!$L$4:$L$11,A110,'02.08'!$M$4:$M$11)+SUMIF('02.08'!$N$4:$N$11,A110,'02.08'!$O$4:$O$11)</f>
        <v>0</v>
      </c>
      <c r="J114" s="15">
        <f>SUMIF('03.08'!$B$4:$B$11,A110,'03.08'!$C$4:$C$11)+SUMIF('03.08'!$D$4:$D$11,A110,'03.08'!$E$4:$E$11)+SUMIF('03.08'!$F$4:$F$11,A110,'03.08'!$G$4:$G$11)+SUMIF('03.08'!$H$4:$H$11,A110,'03.08'!$I$4:$I$11)+SUMIF('03.08'!$J$4:$J$11,A110,'03.08'!$K$4:$K$11)+SUMIF('03.08'!$L$4:$L$11,A110,'03.08'!$M$4:$M$11)+SUMIF('03.08'!$N$4:$N$11,A110,'03.08'!$O$4:$O$11)</f>
        <v>0</v>
      </c>
      <c r="K114" s="15">
        <f>SUMIF('04.08'!$B$4:$B$11,A110,'04.08'!$C$4:$C$11)+SUMIF('04.08'!$D$4:$D$11,A110,'04.08'!$E$4:$E$11)+SUMIF('04.08'!$F$4:$F$11,A110,'04.08'!$G$4:$G$11)+SUMIF('04.08'!$H$4:$H$11,A110,'04.08'!$I$4:$I$11)+SUMIF('04.08'!$J$4:$J$11,A110,'04.08'!$K$4:$K$11)+SUMIF('04.08'!$L$4:$L$11,A110,'04.08'!$M$4:$M$11)+SUMIF('04.08'!$N$4:$N$11,A110,'04.08'!$O$4:$O$11)</f>
        <v>0</v>
      </c>
      <c r="L114" s="15">
        <f>SUMIF('05.08'!$B$4:$B$11,A110,'05.08'!$C$4:$C$11)+SUMIF('05.08'!$D$4:$D$11,A110,'05.08'!$E$4:$E$11)+SUMIF('05.08'!$F$4:$F$11,A110,'05.08'!$G$4:$G$11)+SUMIF('05.08'!$H$4:$H$11,A110,'05.08'!$I$4:$I$11)+SUMIF('05.08'!$J$4:$J$11,A110,'05.08'!$K$4:$K$11)+SUMIF('05.08'!$L$4:$L$11,A110,'05.08'!$M$4:$M$11)+SUMIF('05.08'!$N$4:$N$11,A110,'05.08'!$O$4:$O$11)</f>
        <v>0</v>
      </c>
      <c r="M114" s="15">
        <f>SUMIF('06.08'!$B$4:$B$11,A110,'06.08'!$C$4:$C$11)+SUMIF('06.08'!$D$4:$D$11,A110,'06.08'!$E$4:$E$11)+SUMIF('06.08'!$F$4:$F$11,A110,'06.08'!$G$4:$G$11)+SUMIF('06.08'!$H$4:$H$11,A110,'06.08'!$I$4:$I$11)+SUMIF('06.08'!$J$4:$J$11,A110,'06.08'!$K$4:$K$11)+SUMIF('06.08'!$L$4:$L$11,A110,'06.08'!$M$4:$M$11)+SUMIF('06.08'!$N$4:$N$11,A110,'06.08'!$O$4:$O$11)</f>
        <v>0</v>
      </c>
      <c r="N114" s="15">
        <f>SUMIF('07.08'!$B$4:$B$11,A110,'07.08'!$C$4:$C$11)+SUMIF('07.08'!$D$4:$D$11,A110,'07.08'!$E$4:$E$11)+SUMIF('07.08'!$F$4:$F$11,A110,'07.08'!$G$4:$G$11)+SUMIF('07.08'!$H$4:$H$11,A110,'07.08'!$I$4:$I$11)+SUMIF('07.08'!$J$4:$J$11,A110,'07.08'!$K$4:$K$11)+SUMIF('07.08'!$L$4:$L$11,A110,'07.08'!$M$4:$M$11)+SUMIF('07.08'!$N$4:$N$11,A110,'07.08'!$O$4:$O$11)</f>
        <v>0</v>
      </c>
      <c r="O114" s="15">
        <f>SUMIF('08.08'!$B$4:$B$11,A110,'08.08'!$C$4:$C$11)+SUMIF('08.08'!$D$4:$D$11,A110,'08.08'!$E$4:$E$11)+SUMIF('08.08'!$F$4:$F$11,A110,'08.08'!$G$4:$G$11)+SUMIF('08.08'!$H$4:$H$11,A110,'08.08'!$I$4:$I$11)+SUMIF('08.08'!$J$4:$J$11,A110,'08.08'!$K$4:$K$11)+SUMIF('08.08'!$L$4:$L$11,A110,'08.08'!$M$4:$M$11)+SUMIF('08.08'!$N$4:$N$11,A110,'08.08'!$O$4:$O$11)</f>
        <v>0</v>
      </c>
      <c r="P114" s="15">
        <f>SUMIF('09.08'!$B$4:$B$11,A110,'09.08'!$C$4:$C$11)+SUMIF('09.08'!$D$4:$D$11,A110,'09.08'!$E$4:$E$11)+SUMIF('09.08'!$F$4:$F$11,A110,'09.08'!$G$4:$G$11)+SUMIF('09.08'!$H$4:$H$11,A110,'09.08'!$I$4:$I$11)+SUMIF('09.08'!$J$4:$J$11,A110,'09.08'!$K$4:$K$11)+SUMIF('09.08'!$L$4:$L$11,A110,'09.08'!$M$4:$M$11)+SUMIF('09.08'!$N$4:$N$11,A110,'09.08'!$O$4:$O$11)</f>
        <v>0</v>
      </c>
      <c r="Q114" s="15">
        <f>SUMIF('10.08'!$B$4:$B$11,A110,'10.08'!$C$4:$C$11)+SUMIF('10.08'!$D$4:$D$11,A110,'10.08'!$E$4:$E$11)+SUMIF('10.08'!$F$4:$F$11,A110,'10.08'!$G$4:$G$11)+SUMIF('10.08'!$H$4:$H$11,A110,'10.08'!$I$4:$I$11)+SUMIF('10.08'!$J$4:$J$11,A110,'10.08'!$K$4:$K$11)+SUMIF('10.08'!$L$4:$L$11,A110,'10.08'!$M$4:$M$11)+SUMIF('10.08'!$N$4:$N$11,A110,'10.08'!$O$4:$O$11)</f>
        <v>0</v>
      </c>
      <c r="R114" s="16" t="str">
        <f t="shared" si="14"/>
        <v>#N/A</v>
      </c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>
      <c r="A115" s="39" t="str">
        <f>'список продуктов'!A135</f>
        <v/>
      </c>
      <c r="B115" s="39" t="str">
        <f>'список продуктов'!B135</f>
        <v/>
      </c>
      <c r="C115" s="39" t="str">
        <f>'список продуктов'!C135</f>
        <v/>
      </c>
      <c r="D115" s="39" t="str">
        <f>'список продуктов'!D135</f>
        <v/>
      </c>
      <c r="E115" s="39" t="str">
        <f>'список продуктов'!E135</f>
        <v/>
      </c>
      <c r="F115" s="47" t="str">
        <f t="shared" si="15"/>
        <v>#N/A</v>
      </c>
      <c r="G115" s="47" t="str">
        <f t="shared" si="10"/>
        <v>Введите занчения</v>
      </c>
      <c r="H115" s="48" t="str">
        <f t="shared" si="12"/>
        <v>Введите занчения</v>
      </c>
      <c r="I115" s="14">
        <f>SUMIF('02.08'!$B$4:$B$11,A111,'02.08'!$C$4:$C$11)+SUMIF('02.08'!$D$4:$D$11,A111,'02.08'!$E$4:$E$11)+SUMIF('02.08'!$F$4:$F$11,A111,'02.08'!$G$4:$G$11)+SUMIF('02.08'!$H$4:$H$11,A111,'02.08'!$I$4:$I$11)+SUMIF('02.08'!$J$4:$J$11,A111,'02.08'!$K$4:$K$11)+SUMIF('02.08'!$L$4:$L$11,A111,'02.08'!$M$4:$M$11)+SUMIF('02.08'!$N$4:$N$11,A111,'02.08'!$O$4:$O$11)</f>
        <v>0</v>
      </c>
      <c r="J115" s="15">
        <f>SUMIF('03.08'!$B$4:$B$11,A111,'03.08'!$C$4:$C$11)+SUMIF('03.08'!$D$4:$D$11,A111,'03.08'!$E$4:$E$11)+SUMIF('03.08'!$F$4:$F$11,A111,'03.08'!$G$4:$G$11)+SUMIF('03.08'!$H$4:$H$11,A111,'03.08'!$I$4:$I$11)+SUMIF('03.08'!$J$4:$J$11,A111,'03.08'!$K$4:$K$11)+SUMIF('03.08'!$L$4:$L$11,A111,'03.08'!$M$4:$M$11)+SUMIF('03.08'!$N$4:$N$11,A111,'03.08'!$O$4:$O$11)</f>
        <v>0</v>
      </c>
      <c r="K115" s="15">
        <f>SUMIF('04.08'!$B$4:$B$11,A111,'04.08'!$C$4:$C$11)+SUMIF('04.08'!$D$4:$D$11,A111,'04.08'!$E$4:$E$11)+SUMIF('04.08'!$F$4:$F$11,A111,'04.08'!$G$4:$G$11)+SUMIF('04.08'!$H$4:$H$11,A111,'04.08'!$I$4:$I$11)+SUMIF('04.08'!$J$4:$J$11,A111,'04.08'!$K$4:$K$11)+SUMIF('04.08'!$L$4:$L$11,A111,'04.08'!$M$4:$M$11)+SUMIF('04.08'!$N$4:$N$11,A111,'04.08'!$O$4:$O$11)</f>
        <v>0</v>
      </c>
      <c r="L115" s="15">
        <f>SUMIF('05.08'!$B$4:$B$11,A111,'05.08'!$C$4:$C$11)+SUMIF('05.08'!$D$4:$D$11,A111,'05.08'!$E$4:$E$11)+SUMIF('05.08'!$F$4:$F$11,A111,'05.08'!$G$4:$G$11)+SUMIF('05.08'!$H$4:$H$11,A111,'05.08'!$I$4:$I$11)+SUMIF('05.08'!$J$4:$J$11,A111,'05.08'!$K$4:$K$11)+SUMIF('05.08'!$L$4:$L$11,A111,'05.08'!$M$4:$M$11)+SUMIF('05.08'!$N$4:$N$11,A111,'05.08'!$O$4:$O$11)</f>
        <v>0</v>
      </c>
      <c r="M115" s="15">
        <f>SUMIF('06.08'!$B$4:$B$11,A111,'06.08'!$C$4:$C$11)+SUMIF('06.08'!$D$4:$D$11,A111,'06.08'!$E$4:$E$11)+SUMIF('06.08'!$F$4:$F$11,A111,'06.08'!$G$4:$G$11)+SUMIF('06.08'!$H$4:$H$11,A111,'06.08'!$I$4:$I$11)+SUMIF('06.08'!$J$4:$J$11,A111,'06.08'!$K$4:$K$11)+SUMIF('06.08'!$L$4:$L$11,A111,'06.08'!$M$4:$M$11)+SUMIF('06.08'!$N$4:$N$11,A111,'06.08'!$O$4:$O$11)</f>
        <v>0</v>
      </c>
      <c r="N115" s="15">
        <f>SUMIF('07.08'!$B$4:$B$11,A111,'07.08'!$C$4:$C$11)+SUMIF('07.08'!$D$4:$D$11,A111,'07.08'!$E$4:$E$11)+SUMIF('07.08'!$F$4:$F$11,A111,'07.08'!$G$4:$G$11)+SUMIF('07.08'!$H$4:$H$11,A111,'07.08'!$I$4:$I$11)+SUMIF('07.08'!$J$4:$J$11,A111,'07.08'!$K$4:$K$11)+SUMIF('07.08'!$L$4:$L$11,A111,'07.08'!$M$4:$M$11)+SUMIF('07.08'!$N$4:$N$11,A111,'07.08'!$O$4:$O$11)</f>
        <v>0</v>
      </c>
      <c r="O115" s="15">
        <f>SUMIF('08.08'!$B$4:$B$11,A111,'08.08'!$C$4:$C$11)+SUMIF('08.08'!$D$4:$D$11,A111,'08.08'!$E$4:$E$11)+SUMIF('08.08'!$F$4:$F$11,A111,'08.08'!$G$4:$G$11)+SUMIF('08.08'!$H$4:$H$11,A111,'08.08'!$I$4:$I$11)+SUMIF('08.08'!$J$4:$J$11,A111,'08.08'!$K$4:$K$11)+SUMIF('08.08'!$L$4:$L$11,A111,'08.08'!$M$4:$M$11)+SUMIF('08.08'!$N$4:$N$11,A111,'08.08'!$O$4:$O$11)</f>
        <v>0</v>
      </c>
      <c r="P115" s="15">
        <f>SUMIF('09.08'!$B$4:$B$11,A111,'09.08'!$C$4:$C$11)+SUMIF('09.08'!$D$4:$D$11,A111,'09.08'!$E$4:$E$11)+SUMIF('09.08'!$F$4:$F$11,A111,'09.08'!$G$4:$G$11)+SUMIF('09.08'!$H$4:$H$11,A111,'09.08'!$I$4:$I$11)+SUMIF('09.08'!$J$4:$J$11,A111,'09.08'!$K$4:$K$11)+SUMIF('09.08'!$L$4:$L$11,A111,'09.08'!$M$4:$M$11)+SUMIF('09.08'!$N$4:$N$11,A111,'09.08'!$O$4:$O$11)</f>
        <v>0</v>
      </c>
      <c r="Q115" s="15">
        <f>SUMIF('10.08'!$B$4:$B$11,A111,'10.08'!$C$4:$C$11)+SUMIF('10.08'!$D$4:$D$11,A111,'10.08'!$E$4:$E$11)+SUMIF('10.08'!$F$4:$F$11,A111,'10.08'!$G$4:$G$11)+SUMIF('10.08'!$H$4:$H$11,A111,'10.08'!$I$4:$I$11)+SUMIF('10.08'!$J$4:$J$11,A111,'10.08'!$K$4:$K$11)+SUMIF('10.08'!$L$4:$L$11,A111,'10.08'!$M$4:$M$11)+SUMIF('10.08'!$N$4:$N$11,A111,'10.08'!$O$4:$O$11)</f>
        <v>0</v>
      </c>
      <c r="R115" s="16" t="str">
        <f t="shared" si="14"/>
        <v>#N/A</v>
      </c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</row>
    <row r="116">
      <c r="A116" s="39" t="str">
        <f>'список продуктов'!A136</f>
        <v/>
      </c>
      <c r="B116" s="39" t="str">
        <f>'список продуктов'!B136</f>
        <v/>
      </c>
      <c r="C116" s="39" t="str">
        <f>'список продуктов'!C136</f>
        <v/>
      </c>
      <c r="D116" s="39" t="str">
        <f>'список продуктов'!D136</f>
        <v/>
      </c>
      <c r="E116" s="39" t="str">
        <f>'список продуктов'!E136</f>
        <v/>
      </c>
      <c r="F116" s="47" t="str">
        <f t="shared" si="15"/>
        <v>#N/A</v>
      </c>
      <c r="G116" s="47" t="str">
        <f t="shared" si="10"/>
        <v>Введите занчения</v>
      </c>
      <c r="H116" s="48" t="str">
        <f t="shared" si="12"/>
        <v>Введите занчения</v>
      </c>
      <c r="I116" s="14">
        <f>SUMIF('02.08'!$B$4:$B$11,A112,'02.08'!$C$4:$C$11)+SUMIF('02.08'!$D$4:$D$11,A112,'02.08'!$E$4:$E$11)+SUMIF('02.08'!$F$4:$F$11,A112,'02.08'!$G$4:$G$11)+SUMIF('02.08'!$H$4:$H$11,A112,'02.08'!$I$4:$I$11)+SUMIF('02.08'!$J$4:$J$11,A112,'02.08'!$K$4:$K$11)+SUMIF('02.08'!$L$4:$L$11,A112,'02.08'!$M$4:$M$11)+SUMIF('02.08'!$N$4:$N$11,A112,'02.08'!$O$4:$O$11)</f>
        <v>0</v>
      </c>
      <c r="J116" s="15">
        <f>SUMIF('03.08'!$B$4:$B$11,A112,'03.08'!$C$4:$C$11)+SUMIF('03.08'!$D$4:$D$11,A112,'03.08'!$E$4:$E$11)+SUMIF('03.08'!$F$4:$F$11,A112,'03.08'!$G$4:$G$11)+SUMIF('03.08'!$H$4:$H$11,A112,'03.08'!$I$4:$I$11)+SUMIF('03.08'!$J$4:$J$11,A112,'03.08'!$K$4:$K$11)+SUMIF('03.08'!$L$4:$L$11,A112,'03.08'!$M$4:$M$11)+SUMIF('03.08'!$N$4:$N$11,A112,'03.08'!$O$4:$O$11)</f>
        <v>0</v>
      </c>
      <c r="K116" s="15">
        <f>SUMIF('04.08'!$B$4:$B$11,A112,'04.08'!$C$4:$C$11)+SUMIF('04.08'!$D$4:$D$11,A112,'04.08'!$E$4:$E$11)+SUMIF('04.08'!$F$4:$F$11,A112,'04.08'!$G$4:$G$11)+SUMIF('04.08'!$H$4:$H$11,A112,'04.08'!$I$4:$I$11)+SUMIF('04.08'!$J$4:$J$11,A112,'04.08'!$K$4:$K$11)+SUMIF('04.08'!$L$4:$L$11,A112,'04.08'!$M$4:$M$11)+SUMIF('04.08'!$N$4:$N$11,A112,'04.08'!$O$4:$O$11)</f>
        <v>0</v>
      </c>
      <c r="L116" s="15">
        <f>SUMIF('05.08'!$B$4:$B$11,A112,'05.08'!$C$4:$C$11)+SUMIF('05.08'!$D$4:$D$11,A112,'05.08'!$E$4:$E$11)+SUMIF('05.08'!$F$4:$F$11,A112,'05.08'!$G$4:$G$11)+SUMIF('05.08'!$H$4:$H$11,A112,'05.08'!$I$4:$I$11)+SUMIF('05.08'!$J$4:$J$11,A112,'05.08'!$K$4:$K$11)+SUMIF('05.08'!$L$4:$L$11,A112,'05.08'!$M$4:$M$11)+SUMIF('05.08'!$N$4:$N$11,A112,'05.08'!$O$4:$O$11)</f>
        <v>0</v>
      </c>
      <c r="M116" s="15">
        <f>SUMIF('06.08'!$B$4:$B$11,A112,'06.08'!$C$4:$C$11)+SUMIF('06.08'!$D$4:$D$11,A112,'06.08'!$E$4:$E$11)+SUMIF('06.08'!$F$4:$F$11,A112,'06.08'!$G$4:$G$11)+SUMIF('06.08'!$H$4:$H$11,A112,'06.08'!$I$4:$I$11)+SUMIF('06.08'!$J$4:$J$11,A112,'06.08'!$K$4:$K$11)+SUMIF('06.08'!$L$4:$L$11,A112,'06.08'!$M$4:$M$11)+SUMIF('06.08'!$N$4:$N$11,A112,'06.08'!$O$4:$O$11)</f>
        <v>0</v>
      </c>
      <c r="N116" s="15">
        <f>SUMIF('07.08'!$B$4:$B$11,A112,'07.08'!$C$4:$C$11)+SUMIF('07.08'!$D$4:$D$11,A112,'07.08'!$E$4:$E$11)+SUMIF('07.08'!$F$4:$F$11,A112,'07.08'!$G$4:$G$11)+SUMIF('07.08'!$H$4:$H$11,A112,'07.08'!$I$4:$I$11)+SUMIF('07.08'!$J$4:$J$11,A112,'07.08'!$K$4:$K$11)+SUMIF('07.08'!$L$4:$L$11,A112,'07.08'!$M$4:$M$11)+SUMIF('07.08'!$N$4:$N$11,A112,'07.08'!$O$4:$O$11)</f>
        <v>0</v>
      </c>
      <c r="O116" s="15">
        <f>SUMIF('08.08'!$B$4:$B$11,A112,'08.08'!$C$4:$C$11)+SUMIF('08.08'!$D$4:$D$11,A112,'08.08'!$E$4:$E$11)+SUMIF('08.08'!$F$4:$F$11,A112,'08.08'!$G$4:$G$11)+SUMIF('08.08'!$H$4:$H$11,A112,'08.08'!$I$4:$I$11)+SUMIF('08.08'!$J$4:$J$11,A112,'08.08'!$K$4:$K$11)+SUMIF('08.08'!$L$4:$L$11,A112,'08.08'!$M$4:$M$11)+SUMIF('08.08'!$N$4:$N$11,A112,'08.08'!$O$4:$O$11)</f>
        <v>0</v>
      </c>
      <c r="P116" s="15">
        <f>SUMIF('09.08'!$B$4:$B$11,A112,'09.08'!$C$4:$C$11)+SUMIF('09.08'!$D$4:$D$11,A112,'09.08'!$E$4:$E$11)+SUMIF('09.08'!$F$4:$F$11,A112,'09.08'!$G$4:$G$11)+SUMIF('09.08'!$H$4:$H$11,A112,'09.08'!$I$4:$I$11)+SUMIF('09.08'!$J$4:$J$11,A112,'09.08'!$K$4:$K$11)+SUMIF('09.08'!$L$4:$L$11,A112,'09.08'!$M$4:$M$11)+SUMIF('09.08'!$N$4:$N$11,A112,'09.08'!$O$4:$O$11)</f>
        <v>0</v>
      </c>
      <c r="Q116" s="15">
        <f>SUMIF('10.08'!$B$4:$B$11,A112,'10.08'!$C$4:$C$11)+SUMIF('10.08'!$D$4:$D$11,A112,'10.08'!$E$4:$E$11)+SUMIF('10.08'!$F$4:$F$11,A112,'10.08'!$G$4:$G$11)+SUMIF('10.08'!$H$4:$H$11,A112,'10.08'!$I$4:$I$11)+SUMIF('10.08'!$J$4:$J$11,A112,'10.08'!$K$4:$K$11)+SUMIF('10.08'!$L$4:$L$11,A112,'10.08'!$M$4:$M$11)+SUMIF('10.08'!$N$4:$N$11,A112,'10.08'!$O$4:$O$11)</f>
        <v>0</v>
      </c>
      <c r="R116" s="16" t="str">
        <f t="shared" si="14"/>
        <v>#N/A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>
      <c r="A117" s="39" t="str">
        <f>'список продуктов'!A137</f>
        <v/>
      </c>
      <c r="B117" s="39" t="str">
        <f>'список продуктов'!B137</f>
        <v/>
      </c>
      <c r="C117" s="39" t="str">
        <f>'список продуктов'!C137</f>
        <v/>
      </c>
      <c r="D117" s="39" t="str">
        <f>'список продуктов'!D137</f>
        <v/>
      </c>
      <c r="E117" s="39" t="str">
        <f>'список продуктов'!E137</f>
        <v/>
      </c>
      <c r="F117" s="47" t="str">
        <f t="shared" si="15"/>
        <v>#N/A</v>
      </c>
      <c r="G117" s="47" t="str">
        <f t="shared" si="10"/>
        <v>Введите занчения</v>
      </c>
      <c r="H117" s="48" t="str">
        <f t="shared" si="12"/>
        <v>Введите занчения</v>
      </c>
      <c r="I117" s="14">
        <f>SUMIF('02.08'!$B$4:$B$11,A113,'02.08'!$C$4:$C$11)+SUMIF('02.08'!$D$4:$D$11,A113,'02.08'!$E$4:$E$11)+SUMIF('02.08'!$F$4:$F$11,A113,'02.08'!$G$4:$G$11)+SUMIF('02.08'!$H$4:$H$11,A113,'02.08'!$I$4:$I$11)+SUMIF('02.08'!$J$4:$J$11,A113,'02.08'!$K$4:$K$11)+SUMIF('02.08'!$L$4:$L$11,A113,'02.08'!$M$4:$M$11)+SUMIF('02.08'!$N$4:$N$11,A113,'02.08'!$O$4:$O$11)</f>
        <v>0</v>
      </c>
      <c r="J117" s="15">
        <f>SUMIF('03.08'!$B$4:$B$11,A113,'03.08'!$C$4:$C$11)+SUMIF('03.08'!$D$4:$D$11,A113,'03.08'!$E$4:$E$11)+SUMIF('03.08'!$F$4:$F$11,A113,'03.08'!$G$4:$G$11)+SUMIF('03.08'!$H$4:$H$11,A113,'03.08'!$I$4:$I$11)+SUMIF('03.08'!$J$4:$J$11,A113,'03.08'!$K$4:$K$11)+SUMIF('03.08'!$L$4:$L$11,A113,'03.08'!$M$4:$M$11)+SUMIF('03.08'!$N$4:$N$11,A113,'03.08'!$O$4:$O$11)</f>
        <v>0</v>
      </c>
      <c r="K117" s="15">
        <f>SUMIF('04.08'!$B$4:$B$11,A113,'04.08'!$C$4:$C$11)+SUMIF('04.08'!$D$4:$D$11,A113,'04.08'!$E$4:$E$11)+SUMIF('04.08'!$F$4:$F$11,A113,'04.08'!$G$4:$G$11)+SUMIF('04.08'!$H$4:$H$11,A113,'04.08'!$I$4:$I$11)+SUMIF('04.08'!$J$4:$J$11,A113,'04.08'!$K$4:$K$11)+SUMIF('04.08'!$L$4:$L$11,A113,'04.08'!$M$4:$M$11)+SUMIF('04.08'!$N$4:$N$11,A113,'04.08'!$O$4:$O$11)</f>
        <v>0</v>
      </c>
      <c r="L117" s="15">
        <f>SUMIF('05.08'!$B$4:$B$11,A113,'05.08'!$C$4:$C$11)+SUMIF('05.08'!$D$4:$D$11,A113,'05.08'!$E$4:$E$11)+SUMIF('05.08'!$F$4:$F$11,A113,'05.08'!$G$4:$G$11)+SUMIF('05.08'!$H$4:$H$11,A113,'05.08'!$I$4:$I$11)+SUMIF('05.08'!$J$4:$J$11,A113,'05.08'!$K$4:$K$11)+SUMIF('05.08'!$L$4:$L$11,A113,'05.08'!$M$4:$M$11)+SUMIF('05.08'!$N$4:$N$11,A113,'05.08'!$O$4:$O$11)</f>
        <v>0</v>
      </c>
      <c r="M117" s="15">
        <f>SUMIF('06.08'!$B$4:$B$11,A113,'06.08'!$C$4:$C$11)+SUMIF('06.08'!$D$4:$D$11,A113,'06.08'!$E$4:$E$11)+SUMIF('06.08'!$F$4:$F$11,A113,'06.08'!$G$4:$G$11)+SUMIF('06.08'!$H$4:$H$11,A113,'06.08'!$I$4:$I$11)+SUMIF('06.08'!$J$4:$J$11,A113,'06.08'!$K$4:$K$11)+SUMIF('06.08'!$L$4:$L$11,A113,'06.08'!$M$4:$M$11)+SUMIF('06.08'!$N$4:$N$11,A113,'06.08'!$O$4:$O$11)</f>
        <v>0</v>
      </c>
      <c r="N117" s="15">
        <f>SUMIF('07.08'!$B$4:$B$11,A113,'07.08'!$C$4:$C$11)+SUMIF('07.08'!$D$4:$D$11,A113,'07.08'!$E$4:$E$11)+SUMIF('07.08'!$F$4:$F$11,A113,'07.08'!$G$4:$G$11)+SUMIF('07.08'!$H$4:$H$11,A113,'07.08'!$I$4:$I$11)+SUMIF('07.08'!$J$4:$J$11,A113,'07.08'!$K$4:$K$11)+SUMIF('07.08'!$L$4:$L$11,A113,'07.08'!$M$4:$M$11)+SUMIF('07.08'!$N$4:$N$11,A113,'07.08'!$O$4:$O$11)</f>
        <v>0</v>
      </c>
      <c r="O117" s="15">
        <f>SUMIF('08.08'!$B$4:$B$11,A113,'08.08'!$C$4:$C$11)+SUMIF('08.08'!$D$4:$D$11,A113,'08.08'!$E$4:$E$11)+SUMIF('08.08'!$F$4:$F$11,A113,'08.08'!$G$4:$G$11)+SUMIF('08.08'!$H$4:$H$11,A113,'08.08'!$I$4:$I$11)+SUMIF('08.08'!$J$4:$J$11,A113,'08.08'!$K$4:$K$11)+SUMIF('08.08'!$L$4:$L$11,A113,'08.08'!$M$4:$M$11)+SUMIF('08.08'!$N$4:$N$11,A113,'08.08'!$O$4:$O$11)</f>
        <v>0</v>
      </c>
      <c r="P117" s="15">
        <f>SUMIF('09.08'!$B$4:$B$11,A113,'09.08'!$C$4:$C$11)+SUMIF('09.08'!$D$4:$D$11,A113,'09.08'!$E$4:$E$11)+SUMIF('09.08'!$F$4:$F$11,A113,'09.08'!$G$4:$G$11)+SUMIF('09.08'!$H$4:$H$11,A113,'09.08'!$I$4:$I$11)+SUMIF('09.08'!$J$4:$J$11,A113,'09.08'!$K$4:$K$11)+SUMIF('09.08'!$L$4:$L$11,A113,'09.08'!$M$4:$M$11)+SUMIF('09.08'!$N$4:$N$11,A113,'09.08'!$O$4:$O$11)</f>
        <v>0</v>
      </c>
      <c r="Q117" s="15">
        <f>SUMIF('10.08'!$B$4:$B$11,A113,'10.08'!$C$4:$C$11)+SUMIF('10.08'!$D$4:$D$11,A113,'10.08'!$E$4:$E$11)+SUMIF('10.08'!$F$4:$F$11,A113,'10.08'!$G$4:$G$11)+SUMIF('10.08'!$H$4:$H$11,A113,'10.08'!$I$4:$I$11)+SUMIF('10.08'!$J$4:$J$11,A113,'10.08'!$K$4:$K$11)+SUMIF('10.08'!$L$4:$L$11,A113,'10.08'!$M$4:$M$11)+SUMIF('10.08'!$N$4:$N$11,A113,'10.08'!$O$4:$O$11)</f>
        <v>0</v>
      </c>
      <c r="R117" s="16" t="str">
        <f t="shared" si="14"/>
        <v>#N/A</v>
      </c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</row>
    <row r="118">
      <c r="A118" s="39" t="str">
        <f>'список продуктов'!A138</f>
        <v/>
      </c>
      <c r="B118" s="39" t="str">
        <f>'список продуктов'!B138</f>
        <v/>
      </c>
      <c r="C118" s="39" t="str">
        <f>'список продуктов'!C138</f>
        <v/>
      </c>
      <c r="D118" s="39" t="str">
        <f>'список продуктов'!D138</f>
        <v/>
      </c>
      <c r="E118" s="39" t="str">
        <f>'список продуктов'!E138</f>
        <v/>
      </c>
      <c r="F118" s="47" t="str">
        <f t="shared" si="15"/>
        <v>#N/A</v>
      </c>
      <c r="G118" s="47" t="str">
        <f t="shared" si="10"/>
        <v>Введите занчения</v>
      </c>
      <c r="H118" s="48" t="str">
        <f t="shared" si="12"/>
        <v>Введите занчения</v>
      </c>
      <c r="I118" s="14">
        <f>SUMIF('02.08'!$B$4:$B$11,A114,'02.08'!$C$4:$C$11)+SUMIF('02.08'!$D$4:$D$11,A114,'02.08'!$E$4:$E$11)+SUMIF('02.08'!$F$4:$F$11,A114,'02.08'!$G$4:$G$11)+SUMIF('02.08'!$H$4:$H$11,A114,'02.08'!$I$4:$I$11)+SUMIF('02.08'!$J$4:$J$11,A114,'02.08'!$K$4:$K$11)+SUMIF('02.08'!$L$4:$L$11,A114,'02.08'!$M$4:$M$11)+SUMIF('02.08'!$N$4:$N$11,A114,'02.08'!$O$4:$O$11)</f>
        <v>0</v>
      </c>
      <c r="J118" s="15">
        <f>SUMIF('03.08'!$B$4:$B$11,A114,'03.08'!$C$4:$C$11)+SUMIF('03.08'!$D$4:$D$11,A114,'03.08'!$E$4:$E$11)+SUMIF('03.08'!$F$4:$F$11,A114,'03.08'!$G$4:$G$11)+SUMIF('03.08'!$H$4:$H$11,A114,'03.08'!$I$4:$I$11)+SUMIF('03.08'!$J$4:$J$11,A114,'03.08'!$K$4:$K$11)+SUMIF('03.08'!$L$4:$L$11,A114,'03.08'!$M$4:$M$11)+SUMIF('03.08'!$N$4:$N$11,A114,'03.08'!$O$4:$O$11)</f>
        <v>0</v>
      </c>
      <c r="K118" s="15">
        <f>SUMIF('04.08'!$B$4:$B$11,A114,'04.08'!$C$4:$C$11)+SUMIF('04.08'!$D$4:$D$11,A114,'04.08'!$E$4:$E$11)+SUMIF('04.08'!$F$4:$F$11,A114,'04.08'!$G$4:$G$11)+SUMIF('04.08'!$H$4:$H$11,A114,'04.08'!$I$4:$I$11)+SUMIF('04.08'!$J$4:$J$11,A114,'04.08'!$K$4:$K$11)+SUMIF('04.08'!$L$4:$L$11,A114,'04.08'!$M$4:$M$11)+SUMIF('04.08'!$N$4:$N$11,A114,'04.08'!$O$4:$O$11)</f>
        <v>0</v>
      </c>
      <c r="L118" s="15">
        <f>SUMIF('05.08'!$B$4:$B$11,A114,'05.08'!$C$4:$C$11)+SUMIF('05.08'!$D$4:$D$11,A114,'05.08'!$E$4:$E$11)+SUMIF('05.08'!$F$4:$F$11,A114,'05.08'!$G$4:$G$11)+SUMIF('05.08'!$H$4:$H$11,A114,'05.08'!$I$4:$I$11)+SUMIF('05.08'!$J$4:$J$11,A114,'05.08'!$K$4:$K$11)+SUMIF('05.08'!$L$4:$L$11,A114,'05.08'!$M$4:$M$11)+SUMIF('05.08'!$N$4:$N$11,A114,'05.08'!$O$4:$O$11)</f>
        <v>0</v>
      </c>
      <c r="M118" s="15">
        <f>SUMIF('06.08'!$B$4:$B$11,A114,'06.08'!$C$4:$C$11)+SUMIF('06.08'!$D$4:$D$11,A114,'06.08'!$E$4:$E$11)+SUMIF('06.08'!$F$4:$F$11,A114,'06.08'!$G$4:$G$11)+SUMIF('06.08'!$H$4:$H$11,A114,'06.08'!$I$4:$I$11)+SUMIF('06.08'!$J$4:$J$11,A114,'06.08'!$K$4:$K$11)+SUMIF('06.08'!$L$4:$L$11,A114,'06.08'!$M$4:$M$11)+SUMIF('06.08'!$N$4:$N$11,A114,'06.08'!$O$4:$O$11)</f>
        <v>0</v>
      </c>
      <c r="N118" s="15">
        <f>SUMIF('07.08'!$B$4:$B$11,A114,'07.08'!$C$4:$C$11)+SUMIF('07.08'!$D$4:$D$11,A114,'07.08'!$E$4:$E$11)+SUMIF('07.08'!$F$4:$F$11,A114,'07.08'!$G$4:$G$11)+SUMIF('07.08'!$H$4:$H$11,A114,'07.08'!$I$4:$I$11)+SUMIF('07.08'!$J$4:$J$11,A114,'07.08'!$K$4:$K$11)+SUMIF('07.08'!$L$4:$L$11,A114,'07.08'!$M$4:$M$11)+SUMIF('07.08'!$N$4:$N$11,A114,'07.08'!$O$4:$O$11)</f>
        <v>0</v>
      </c>
      <c r="O118" s="15">
        <f>SUMIF('08.08'!$B$4:$B$11,A114,'08.08'!$C$4:$C$11)+SUMIF('08.08'!$D$4:$D$11,A114,'08.08'!$E$4:$E$11)+SUMIF('08.08'!$F$4:$F$11,A114,'08.08'!$G$4:$G$11)+SUMIF('08.08'!$H$4:$H$11,A114,'08.08'!$I$4:$I$11)+SUMIF('08.08'!$J$4:$J$11,A114,'08.08'!$K$4:$K$11)+SUMIF('08.08'!$L$4:$L$11,A114,'08.08'!$M$4:$M$11)+SUMIF('08.08'!$N$4:$N$11,A114,'08.08'!$O$4:$O$11)</f>
        <v>0</v>
      </c>
      <c r="P118" s="15">
        <f>SUMIF('09.08'!$B$4:$B$11,A114,'09.08'!$C$4:$C$11)+SUMIF('09.08'!$D$4:$D$11,A114,'09.08'!$E$4:$E$11)+SUMIF('09.08'!$F$4:$F$11,A114,'09.08'!$G$4:$G$11)+SUMIF('09.08'!$H$4:$H$11,A114,'09.08'!$I$4:$I$11)+SUMIF('09.08'!$J$4:$J$11,A114,'09.08'!$K$4:$K$11)+SUMIF('09.08'!$L$4:$L$11,A114,'09.08'!$M$4:$M$11)+SUMIF('09.08'!$N$4:$N$11,A114,'09.08'!$O$4:$O$11)</f>
        <v>0</v>
      </c>
      <c r="Q118" s="15">
        <f>SUMIF('10.08'!$B$4:$B$11,A114,'10.08'!$C$4:$C$11)+SUMIF('10.08'!$D$4:$D$11,A114,'10.08'!$E$4:$E$11)+SUMIF('10.08'!$F$4:$F$11,A114,'10.08'!$G$4:$G$11)+SUMIF('10.08'!$H$4:$H$11,A114,'10.08'!$I$4:$I$11)+SUMIF('10.08'!$J$4:$J$11,A114,'10.08'!$K$4:$K$11)+SUMIF('10.08'!$L$4:$L$11,A114,'10.08'!$M$4:$M$11)+SUMIF('10.08'!$N$4:$N$11,A114,'10.08'!$O$4:$O$11)</f>
        <v>0</v>
      </c>
      <c r="R118" s="16" t="str">
        <f t="shared" si="14"/>
        <v>#N/A</v>
      </c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</row>
    <row r="119">
      <c r="A119" s="39" t="str">
        <f>'список продуктов'!A139</f>
        <v/>
      </c>
      <c r="B119" s="39" t="str">
        <f>'список продуктов'!B139</f>
        <v/>
      </c>
      <c r="C119" s="39" t="str">
        <f>'список продуктов'!C139</f>
        <v/>
      </c>
      <c r="D119" s="39" t="str">
        <f>'список продуктов'!D139</f>
        <v/>
      </c>
      <c r="E119" s="39" t="str">
        <f>'список продуктов'!E139</f>
        <v/>
      </c>
      <c r="F119" s="47" t="str">
        <f t="shared" si="15"/>
        <v>#N/A</v>
      </c>
      <c r="G119" s="47" t="str">
        <f t="shared" si="10"/>
        <v>Введите занчения</v>
      </c>
      <c r="H119" s="48" t="str">
        <f t="shared" si="12"/>
        <v>Введите занчения</v>
      </c>
      <c r="I119" s="14">
        <f>SUMIF('02.08'!$B$4:$B$11,A115,'02.08'!$C$4:$C$11)+SUMIF('02.08'!$D$4:$D$11,A115,'02.08'!$E$4:$E$11)+SUMIF('02.08'!$F$4:$F$11,A115,'02.08'!$G$4:$G$11)+SUMIF('02.08'!$H$4:$H$11,A115,'02.08'!$I$4:$I$11)+SUMIF('02.08'!$J$4:$J$11,A115,'02.08'!$K$4:$K$11)+SUMIF('02.08'!$L$4:$L$11,A115,'02.08'!$M$4:$M$11)+SUMIF('02.08'!$N$4:$N$11,A115,'02.08'!$O$4:$O$11)</f>
        <v>0</v>
      </c>
      <c r="J119" s="15">
        <f>SUMIF('03.08'!$B$4:$B$11,A115,'03.08'!$C$4:$C$11)+SUMIF('03.08'!$D$4:$D$11,A115,'03.08'!$E$4:$E$11)+SUMIF('03.08'!$F$4:$F$11,A115,'03.08'!$G$4:$G$11)+SUMIF('03.08'!$H$4:$H$11,A115,'03.08'!$I$4:$I$11)+SUMIF('03.08'!$J$4:$J$11,A115,'03.08'!$K$4:$K$11)+SUMIF('03.08'!$L$4:$L$11,A115,'03.08'!$M$4:$M$11)+SUMIF('03.08'!$N$4:$N$11,A115,'03.08'!$O$4:$O$11)</f>
        <v>0</v>
      </c>
      <c r="K119" s="15">
        <f>SUMIF('04.08'!$B$4:$B$11,A115,'04.08'!$C$4:$C$11)+SUMIF('04.08'!$D$4:$D$11,A115,'04.08'!$E$4:$E$11)+SUMIF('04.08'!$F$4:$F$11,A115,'04.08'!$G$4:$G$11)+SUMIF('04.08'!$H$4:$H$11,A115,'04.08'!$I$4:$I$11)+SUMIF('04.08'!$J$4:$J$11,A115,'04.08'!$K$4:$K$11)+SUMIF('04.08'!$L$4:$L$11,A115,'04.08'!$M$4:$M$11)+SUMIF('04.08'!$N$4:$N$11,A115,'04.08'!$O$4:$O$11)</f>
        <v>0</v>
      </c>
      <c r="L119" s="15">
        <f>SUMIF('05.08'!$B$4:$B$11,A115,'05.08'!$C$4:$C$11)+SUMIF('05.08'!$D$4:$D$11,A115,'05.08'!$E$4:$E$11)+SUMIF('05.08'!$F$4:$F$11,A115,'05.08'!$G$4:$G$11)+SUMIF('05.08'!$H$4:$H$11,A115,'05.08'!$I$4:$I$11)+SUMIF('05.08'!$J$4:$J$11,A115,'05.08'!$K$4:$K$11)+SUMIF('05.08'!$L$4:$L$11,A115,'05.08'!$M$4:$M$11)+SUMIF('05.08'!$N$4:$N$11,A115,'05.08'!$O$4:$O$11)</f>
        <v>0</v>
      </c>
      <c r="M119" s="15">
        <f>SUMIF('06.08'!$B$4:$B$11,A115,'06.08'!$C$4:$C$11)+SUMIF('06.08'!$D$4:$D$11,A115,'06.08'!$E$4:$E$11)+SUMIF('06.08'!$F$4:$F$11,A115,'06.08'!$G$4:$G$11)+SUMIF('06.08'!$H$4:$H$11,A115,'06.08'!$I$4:$I$11)+SUMIF('06.08'!$J$4:$J$11,A115,'06.08'!$K$4:$K$11)+SUMIF('06.08'!$L$4:$L$11,A115,'06.08'!$M$4:$M$11)+SUMIF('06.08'!$N$4:$N$11,A115,'06.08'!$O$4:$O$11)</f>
        <v>0</v>
      </c>
      <c r="N119" s="15">
        <f>SUMIF('07.08'!$B$4:$B$11,A115,'07.08'!$C$4:$C$11)+SUMIF('07.08'!$D$4:$D$11,A115,'07.08'!$E$4:$E$11)+SUMIF('07.08'!$F$4:$F$11,A115,'07.08'!$G$4:$G$11)+SUMIF('07.08'!$H$4:$H$11,A115,'07.08'!$I$4:$I$11)+SUMIF('07.08'!$J$4:$J$11,A115,'07.08'!$K$4:$K$11)+SUMIF('07.08'!$L$4:$L$11,A115,'07.08'!$M$4:$M$11)+SUMIF('07.08'!$N$4:$N$11,A115,'07.08'!$O$4:$O$11)</f>
        <v>0</v>
      </c>
      <c r="O119" s="15">
        <f>SUMIF('08.08'!$B$4:$B$11,A115,'08.08'!$C$4:$C$11)+SUMIF('08.08'!$D$4:$D$11,A115,'08.08'!$E$4:$E$11)+SUMIF('08.08'!$F$4:$F$11,A115,'08.08'!$G$4:$G$11)+SUMIF('08.08'!$H$4:$H$11,A115,'08.08'!$I$4:$I$11)+SUMIF('08.08'!$J$4:$J$11,A115,'08.08'!$K$4:$K$11)+SUMIF('08.08'!$L$4:$L$11,A115,'08.08'!$M$4:$M$11)+SUMIF('08.08'!$N$4:$N$11,A115,'08.08'!$O$4:$O$11)</f>
        <v>0</v>
      </c>
      <c r="P119" s="15">
        <f>SUMIF('09.08'!$B$4:$B$11,A115,'09.08'!$C$4:$C$11)+SUMIF('09.08'!$D$4:$D$11,A115,'09.08'!$E$4:$E$11)+SUMIF('09.08'!$F$4:$F$11,A115,'09.08'!$G$4:$G$11)+SUMIF('09.08'!$H$4:$H$11,A115,'09.08'!$I$4:$I$11)+SUMIF('09.08'!$J$4:$J$11,A115,'09.08'!$K$4:$K$11)+SUMIF('09.08'!$L$4:$L$11,A115,'09.08'!$M$4:$M$11)+SUMIF('09.08'!$N$4:$N$11,A115,'09.08'!$O$4:$O$11)</f>
        <v>0</v>
      </c>
      <c r="Q119" s="15">
        <f>SUMIF('10.08'!$B$4:$B$11,A115,'10.08'!$C$4:$C$11)+SUMIF('10.08'!$D$4:$D$11,A115,'10.08'!$E$4:$E$11)+SUMIF('10.08'!$F$4:$F$11,A115,'10.08'!$G$4:$G$11)+SUMIF('10.08'!$H$4:$H$11,A115,'10.08'!$I$4:$I$11)+SUMIF('10.08'!$J$4:$J$11,A115,'10.08'!$K$4:$K$11)+SUMIF('10.08'!$L$4:$L$11,A115,'10.08'!$M$4:$M$11)+SUMIF('10.08'!$N$4:$N$11,A115,'10.08'!$O$4:$O$11)</f>
        <v>0</v>
      </c>
      <c r="R119" s="16" t="str">
        <f t="shared" si="14"/>
        <v>#N/A</v>
      </c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</row>
    <row r="120">
      <c r="A120" s="39" t="str">
        <f>'список продуктов'!A140</f>
        <v/>
      </c>
      <c r="B120" s="39" t="str">
        <f>'список продуктов'!B140</f>
        <v/>
      </c>
      <c r="C120" s="39" t="str">
        <f>'список продуктов'!C140</f>
        <v/>
      </c>
      <c r="D120" s="39" t="str">
        <f>'список продуктов'!D140</f>
        <v/>
      </c>
      <c r="E120" s="39" t="str">
        <f>'список продуктов'!E140</f>
        <v/>
      </c>
      <c r="F120" s="47" t="str">
        <f t="shared" si="15"/>
        <v>#N/A</v>
      </c>
      <c r="G120" s="47" t="str">
        <f t="shared" si="10"/>
        <v>Введите занчения</v>
      </c>
      <c r="H120" s="48" t="str">
        <f t="shared" si="12"/>
        <v>Введите занчения</v>
      </c>
      <c r="I120" s="14">
        <f>SUMIF('02.08'!$B$4:$B$11,A116,'02.08'!$C$4:$C$11)+SUMIF('02.08'!$D$4:$D$11,A116,'02.08'!$E$4:$E$11)+SUMIF('02.08'!$F$4:$F$11,A116,'02.08'!$G$4:$G$11)+SUMIF('02.08'!$H$4:$H$11,A116,'02.08'!$I$4:$I$11)+SUMIF('02.08'!$J$4:$J$11,A116,'02.08'!$K$4:$K$11)+SUMIF('02.08'!$L$4:$L$11,A116,'02.08'!$M$4:$M$11)+SUMIF('02.08'!$N$4:$N$11,A116,'02.08'!$O$4:$O$11)</f>
        <v>0</v>
      </c>
      <c r="J120" s="15">
        <f>SUMIF('03.08'!$B$4:$B$11,A116,'03.08'!$C$4:$C$11)+SUMIF('03.08'!$D$4:$D$11,A116,'03.08'!$E$4:$E$11)+SUMIF('03.08'!$F$4:$F$11,A116,'03.08'!$G$4:$G$11)+SUMIF('03.08'!$H$4:$H$11,A116,'03.08'!$I$4:$I$11)+SUMIF('03.08'!$J$4:$J$11,A116,'03.08'!$K$4:$K$11)+SUMIF('03.08'!$L$4:$L$11,A116,'03.08'!$M$4:$M$11)+SUMIF('03.08'!$N$4:$N$11,A116,'03.08'!$O$4:$O$11)</f>
        <v>0</v>
      </c>
      <c r="K120" s="15">
        <f>SUMIF('04.08'!$B$4:$B$11,A116,'04.08'!$C$4:$C$11)+SUMIF('04.08'!$D$4:$D$11,A116,'04.08'!$E$4:$E$11)+SUMIF('04.08'!$F$4:$F$11,A116,'04.08'!$G$4:$G$11)+SUMIF('04.08'!$H$4:$H$11,A116,'04.08'!$I$4:$I$11)+SUMIF('04.08'!$J$4:$J$11,A116,'04.08'!$K$4:$K$11)+SUMIF('04.08'!$L$4:$L$11,A116,'04.08'!$M$4:$M$11)+SUMIF('04.08'!$N$4:$N$11,A116,'04.08'!$O$4:$O$11)</f>
        <v>0</v>
      </c>
      <c r="L120" s="15">
        <f>SUMIF('05.08'!$B$4:$B$11,A116,'05.08'!$C$4:$C$11)+SUMIF('05.08'!$D$4:$D$11,A116,'05.08'!$E$4:$E$11)+SUMIF('05.08'!$F$4:$F$11,A116,'05.08'!$G$4:$G$11)+SUMIF('05.08'!$H$4:$H$11,A116,'05.08'!$I$4:$I$11)+SUMIF('05.08'!$J$4:$J$11,A116,'05.08'!$K$4:$K$11)+SUMIF('05.08'!$L$4:$L$11,A116,'05.08'!$M$4:$M$11)+SUMIF('05.08'!$N$4:$N$11,A116,'05.08'!$O$4:$O$11)</f>
        <v>0</v>
      </c>
      <c r="M120" s="15">
        <f>SUMIF('06.08'!$B$4:$B$11,A116,'06.08'!$C$4:$C$11)+SUMIF('06.08'!$D$4:$D$11,A116,'06.08'!$E$4:$E$11)+SUMIF('06.08'!$F$4:$F$11,A116,'06.08'!$G$4:$G$11)+SUMIF('06.08'!$H$4:$H$11,A116,'06.08'!$I$4:$I$11)+SUMIF('06.08'!$J$4:$J$11,A116,'06.08'!$K$4:$K$11)+SUMIF('06.08'!$L$4:$L$11,A116,'06.08'!$M$4:$M$11)+SUMIF('06.08'!$N$4:$N$11,A116,'06.08'!$O$4:$O$11)</f>
        <v>0</v>
      </c>
      <c r="N120" s="15">
        <f>SUMIF('07.08'!$B$4:$B$11,A116,'07.08'!$C$4:$C$11)+SUMIF('07.08'!$D$4:$D$11,A116,'07.08'!$E$4:$E$11)+SUMIF('07.08'!$F$4:$F$11,A116,'07.08'!$G$4:$G$11)+SUMIF('07.08'!$H$4:$H$11,A116,'07.08'!$I$4:$I$11)+SUMIF('07.08'!$J$4:$J$11,A116,'07.08'!$K$4:$K$11)+SUMIF('07.08'!$L$4:$L$11,A116,'07.08'!$M$4:$M$11)+SUMIF('07.08'!$N$4:$N$11,A116,'07.08'!$O$4:$O$11)</f>
        <v>0</v>
      </c>
      <c r="O120" s="15">
        <f>SUMIF('08.08'!$B$4:$B$11,A116,'08.08'!$C$4:$C$11)+SUMIF('08.08'!$D$4:$D$11,A116,'08.08'!$E$4:$E$11)+SUMIF('08.08'!$F$4:$F$11,A116,'08.08'!$G$4:$G$11)+SUMIF('08.08'!$H$4:$H$11,A116,'08.08'!$I$4:$I$11)+SUMIF('08.08'!$J$4:$J$11,A116,'08.08'!$K$4:$K$11)+SUMIF('08.08'!$L$4:$L$11,A116,'08.08'!$M$4:$M$11)+SUMIF('08.08'!$N$4:$N$11,A116,'08.08'!$O$4:$O$11)</f>
        <v>0</v>
      </c>
      <c r="P120" s="15">
        <f>SUMIF('09.08'!$B$4:$B$11,A116,'09.08'!$C$4:$C$11)+SUMIF('09.08'!$D$4:$D$11,A116,'09.08'!$E$4:$E$11)+SUMIF('09.08'!$F$4:$F$11,A116,'09.08'!$G$4:$G$11)+SUMIF('09.08'!$H$4:$H$11,A116,'09.08'!$I$4:$I$11)+SUMIF('09.08'!$J$4:$J$11,A116,'09.08'!$K$4:$K$11)+SUMIF('09.08'!$L$4:$L$11,A116,'09.08'!$M$4:$M$11)+SUMIF('09.08'!$N$4:$N$11,A116,'09.08'!$O$4:$O$11)</f>
        <v>0</v>
      </c>
      <c r="Q120" s="15">
        <f>SUMIF('10.08'!$B$4:$B$11,A116,'10.08'!$C$4:$C$11)+SUMIF('10.08'!$D$4:$D$11,A116,'10.08'!$E$4:$E$11)+SUMIF('10.08'!$F$4:$F$11,A116,'10.08'!$G$4:$G$11)+SUMIF('10.08'!$H$4:$H$11,A116,'10.08'!$I$4:$I$11)+SUMIF('10.08'!$J$4:$J$11,A116,'10.08'!$K$4:$K$11)+SUMIF('10.08'!$L$4:$L$11,A116,'10.08'!$M$4:$M$11)+SUMIF('10.08'!$N$4:$N$11,A116,'10.08'!$O$4:$O$11)</f>
        <v>0</v>
      </c>
      <c r="R120" s="16" t="str">
        <f t="shared" si="14"/>
        <v>#N/A</v>
      </c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</row>
    <row r="121">
      <c r="A121" s="39" t="str">
        <f>'список продуктов'!A141</f>
        <v/>
      </c>
      <c r="B121" s="39" t="str">
        <f>'список продуктов'!B141</f>
        <v/>
      </c>
      <c r="C121" s="39" t="str">
        <f>'список продуктов'!C141</f>
        <v/>
      </c>
      <c r="D121" s="39" t="str">
        <f>'список продуктов'!D141</f>
        <v/>
      </c>
      <c r="E121" s="39" t="str">
        <f>'список продуктов'!E141</f>
        <v/>
      </c>
      <c r="F121" s="47" t="str">
        <f t="shared" si="15"/>
        <v>#N/A</v>
      </c>
      <c r="G121" s="47" t="str">
        <f t="shared" si="10"/>
        <v>Введите занчения</v>
      </c>
      <c r="H121" s="48" t="str">
        <f t="shared" si="12"/>
        <v>Введите занчения</v>
      </c>
      <c r="I121" s="14">
        <f>SUMIF('02.08'!$B$4:$B$11,A117,'02.08'!$C$4:$C$11)+SUMIF('02.08'!$D$4:$D$11,A117,'02.08'!$E$4:$E$11)+SUMIF('02.08'!$F$4:$F$11,A117,'02.08'!$G$4:$G$11)+SUMIF('02.08'!$H$4:$H$11,A117,'02.08'!$I$4:$I$11)+SUMIF('02.08'!$J$4:$J$11,A117,'02.08'!$K$4:$K$11)+SUMIF('02.08'!$L$4:$L$11,A117,'02.08'!$M$4:$M$11)+SUMIF('02.08'!$N$4:$N$11,A117,'02.08'!$O$4:$O$11)</f>
        <v>0</v>
      </c>
      <c r="J121" s="15">
        <f>SUMIF('03.08'!$B$4:$B$11,A117,'03.08'!$C$4:$C$11)+SUMIF('03.08'!$D$4:$D$11,A117,'03.08'!$E$4:$E$11)+SUMIF('03.08'!$F$4:$F$11,A117,'03.08'!$G$4:$G$11)+SUMIF('03.08'!$H$4:$H$11,A117,'03.08'!$I$4:$I$11)+SUMIF('03.08'!$J$4:$J$11,A117,'03.08'!$K$4:$K$11)+SUMIF('03.08'!$L$4:$L$11,A117,'03.08'!$M$4:$M$11)+SUMIF('03.08'!$N$4:$N$11,A117,'03.08'!$O$4:$O$11)</f>
        <v>0</v>
      </c>
      <c r="K121" s="15">
        <f>SUMIF('04.08'!$B$4:$B$11,A117,'04.08'!$C$4:$C$11)+SUMIF('04.08'!$D$4:$D$11,A117,'04.08'!$E$4:$E$11)+SUMIF('04.08'!$F$4:$F$11,A117,'04.08'!$G$4:$G$11)+SUMIF('04.08'!$H$4:$H$11,A117,'04.08'!$I$4:$I$11)+SUMIF('04.08'!$J$4:$J$11,A117,'04.08'!$K$4:$K$11)+SUMIF('04.08'!$L$4:$L$11,A117,'04.08'!$M$4:$M$11)+SUMIF('04.08'!$N$4:$N$11,A117,'04.08'!$O$4:$O$11)</f>
        <v>0</v>
      </c>
      <c r="L121" s="15">
        <f>SUMIF('05.08'!$B$4:$B$11,A117,'05.08'!$C$4:$C$11)+SUMIF('05.08'!$D$4:$D$11,A117,'05.08'!$E$4:$E$11)+SUMIF('05.08'!$F$4:$F$11,A117,'05.08'!$G$4:$G$11)+SUMIF('05.08'!$H$4:$H$11,A117,'05.08'!$I$4:$I$11)+SUMIF('05.08'!$J$4:$J$11,A117,'05.08'!$K$4:$K$11)+SUMIF('05.08'!$L$4:$L$11,A117,'05.08'!$M$4:$M$11)+SUMIF('05.08'!$N$4:$N$11,A117,'05.08'!$O$4:$O$11)</f>
        <v>0</v>
      </c>
      <c r="M121" s="15">
        <f>SUMIF('06.08'!$B$4:$B$11,A117,'06.08'!$C$4:$C$11)+SUMIF('06.08'!$D$4:$D$11,A117,'06.08'!$E$4:$E$11)+SUMIF('06.08'!$F$4:$F$11,A117,'06.08'!$G$4:$G$11)+SUMIF('06.08'!$H$4:$H$11,A117,'06.08'!$I$4:$I$11)+SUMIF('06.08'!$J$4:$J$11,A117,'06.08'!$K$4:$K$11)+SUMIF('06.08'!$L$4:$L$11,A117,'06.08'!$M$4:$M$11)+SUMIF('06.08'!$N$4:$N$11,A117,'06.08'!$O$4:$O$11)</f>
        <v>0</v>
      </c>
      <c r="N121" s="15">
        <f>SUMIF('07.08'!$B$4:$B$11,A117,'07.08'!$C$4:$C$11)+SUMIF('07.08'!$D$4:$D$11,A117,'07.08'!$E$4:$E$11)+SUMIF('07.08'!$F$4:$F$11,A117,'07.08'!$G$4:$G$11)+SUMIF('07.08'!$H$4:$H$11,A117,'07.08'!$I$4:$I$11)+SUMIF('07.08'!$J$4:$J$11,A117,'07.08'!$K$4:$K$11)+SUMIF('07.08'!$L$4:$L$11,A117,'07.08'!$M$4:$M$11)+SUMIF('07.08'!$N$4:$N$11,A117,'07.08'!$O$4:$O$11)</f>
        <v>0</v>
      </c>
      <c r="O121" s="15">
        <f>SUMIF('08.08'!$B$4:$B$11,A117,'08.08'!$C$4:$C$11)+SUMIF('08.08'!$D$4:$D$11,A117,'08.08'!$E$4:$E$11)+SUMIF('08.08'!$F$4:$F$11,A117,'08.08'!$G$4:$G$11)+SUMIF('08.08'!$H$4:$H$11,A117,'08.08'!$I$4:$I$11)+SUMIF('08.08'!$J$4:$J$11,A117,'08.08'!$K$4:$K$11)+SUMIF('08.08'!$L$4:$L$11,A117,'08.08'!$M$4:$M$11)+SUMIF('08.08'!$N$4:$N$11,A117,'08.08'!$O$4:$O$11)</f>
        <v>0</v>
      </c>
      <c r="P121" s="15">
        <f>SUMIF('09.08'!$B$4:$B$11,A117,'09.08'!$C$4:$C$11)+SUMIF('09.08'!$D$4:$D$11,A117,'09.08'!$E$4:$E$11)+SUMIF('09.08'!$F$4:$F$11,A117,'09.08'!$G$4:$G$11)+SUMIF('09.08'!$H$4:$H$11,A117,'09.08'!$I$4:$I$11)+SUMIF('09.08'!$J$4:$J$11,A117,'09.08'!$K$4:$K$11)+SUMIF('09.08'!$L$4:$L$11,A117,'09.08'!$M$4:$M$11)+SUMIF('09.08'!$N$4:$N$11,A117,'09.08'!$O$4:$O$11)</f>
        <v>0</v>
      </c>
      <c r="Q121" s="15">
        <f>SUMIF('10.08'!$B$4:$B$11,A117,'10.08'!$C$4:$C$11)+SUMIF('10.08'!$D$4:$D$11,A117,'10.08'!$E$4:$E$11)+SUMIF('10.08'!$F$4:$F$11,A117,'10.08'!$G$4:$G$11)+SUMIF('10.08'!$H$4:$H$11,A117,'10.08'!$I$4:$I$11)+SUMIF('10.08'!$J$4:$J$11,A117,'10.08'!$K$4:$K$11)+SUMIF('10.08'!$L$4:$L$11,A117,'10.08'!$M$4:$M$11)+SUMIF('10.08'!$N$4:$N$11,A117,'10.08'!$O$4:$O$11)</f>
        <v>0</v>
      </c>
      <c r="R121" s="16" t="str">
        <f t="shared" si="14"/>
        <v>#N/A</v>
      </c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</row>
    <row r="122">
      <c r="A122" s="39" t="str">
        <f>'список продуктов'!A142</f>
        <v/>
      </c>
      <c r="B122" s="39" t="str">
        <f>'список продуктов'!B142</f>
        <v/>
      </c>
      <c r="C122" s="39" t="str">
        <f>'список продуктов'!C142</f>
        <v/>
      </c>
      <c r="D122" s="39" t="str">
        <f>'список продуктов'!D142</f>
        <v/>
      </c>
      <c r="E122" s="39" t="str">
        <f>'список продуктов'!E142</f>
        <v/>
      </c>
      <c r="F122" s="47" t="str">
        <f t="shared" si="15"/>
        <v>#N/A</v>
      </c>
      <c r="G122" s="47" t="str">
        <f t="shared" si="10"/>
        <v>Введите занчения</v>
      </c>
      <c r="H122" s="48" t="str">
        <f t="shared" si="12"/>
        <v>Введите занчения</v>
      </c>
      <c r="I122" s="14">
        <f>SUMIF('02.08'!$B$4:$B$11,A118,'02.08'!$C$4:$C$11)+SUMIF('02.08'!$D$4:$D$11,A118,'02.08'!$E$4:$E$11)+SUMIF('02.08'!$F$4:$F$11,A118,'02.08'!$G$4:$G$11)+SUMIF('02.08'!$H$4:$H$11,A118,'02.08'!$I$4:$I$11)+SUMIF('02.08'!$J$4:$J$11,A118,'02.08'!$K$4:$K$11)+SUMIF('02.08'!$L$4:$L$11,A118,'02.08'!$M$4:$M$11)+SUMIF('02.08'!$N$4:$N$11,A118,'02.08'!$O$4:$O$11)</f>
        <v>0</v>
      </c>
      <c r="J122" s="15">
        <f>SUMIF('03.08'!$B$4:$B$11,A118,'03.08'!$C$4:$C$11)+SUMIF('03.08'!$D$4:$D$11,A118,'03.08'!$E$4:$E$11)+SUMIF('03.08'!$F$4:$F$11,A118,'03.08'!$G$4:$G$11)+SUMIF('03.08'!$H$4:$H$11,A118,'03.08'!$I$4:$I$11)+SUMIF('03.08'!$J$4:$J$11,A118,'03.08'!$K$4:$K$11)+SUMIF('03.08'!$L$4:$L$11,A118,'03.08'!$M$4:$M$11)+SUMIF('03.08'!$N$4:$N$11,A118,'03.08'!$O$4:$O$11)</f>
        <v>0</v>
      </c>
      <c r="K122" s="15">
        <f>SUMIF('04.08'!$B$4:$B$11,A118,'04.08'!$C$4:$C$11)+SUMIF('04.08'!$D$4:$D$11,A118,'04.08'!$E$4:$E$11)+SUMIF('04.08'!$F$4:$F$11,A118,'04.08'!$G$4:$G$11)+SUMIF('04.08'!$H$4:$H$11,A118,'04.08'!$I$4:$I$11)+SUMIF('04.08'!$J$4:$J$11,A118,'04.08'!$K$4:$K$11)+SUMIF('04.08'!$L$4:$L$11,A118,'04.08'!$M$4:$M$11)+SUMIF('04.08'!$N$4:$N$11,A118,'04.08'!$O$4:$O$11)</f>
        <v>0</v>
      </c>
      <c r="L122" s="15">
        <f>SUMIF('05.08'!$B$4:$B$11,A118,'05.08'!$C$4:$C$11)+SUMIF('05.08'!$D$4:$D$11,A118,'05.08'!$E$4:$E$11)+SUMIF('05.08'!$F$4:$F$11,A118,'05.08'!$G$4:$G$11)+SUMIF('05.08'!$H$4:$H$11,A118,'05.08'!$I$4:$I$11)+SUMIF('05.08'!$J$4:$J$11,A118,'05.08'!$K$4:$K$11)+SUMIF('05.08'!$L$4:$L$11,A118,'05.08'!$M$4:$M$11)+SUMIF('05.08'!$N$4:$N$11,A118,'05.08'!$O$4:$O$11)</f>
        <v>0</v>
      </c>
      <c r="M122" s="15">
        <f>SUMIF('06.08'!$B$4:$B$11,A118,'06.08'!$C$4:$C$11)+SUMIF('06.08'!$D$4:$D$11,A118,'06.08'!$E$4:$E$11)+SUMIF('06.08'!$F$4:$F$11,A118,'06.08'!$G$4:$G$11)+SUMIF('06.08'!$H$4:$H$11,A118,'06.08'!$I$4:$I$11)+SUMIF('06.08'!$J$4:$J$11,A118,'06.08'!$K$4:$K$11)+SUMIF('06.08'!$L$4:$L$11,A118,'06.08'!$M$4:$M$11)+SUMIF('06.08'!$N$4:$N$11,A118,'06.08'!$O$4:$O$11)</f>
        <v>0</v>
      </c>
      <c r="N122" s="15">
        <f>SUMIF('07.08'!$B$4:$B$11,A118,'07.08'!$C$4:$C$11)+SUMIF('07.08'!$D$4:$D$11,A118,'07.08'!$E$4:$E$11)+SUMIF('07.08'!$F$4:$F$11,A118,'07.08'!$G$4:$G$11)+SUMIF('07.08'!$H$4:$H$11,A118,'07.08'!$I$4:$I$11)+SUMIF('07.08'!$J$4:$J$11,A118,'07.08'!$K$4:$K$11)+SUMIF('07.08'!$L$4:$L$11,A118,'07.08'!$M$4:$M$11)+SUMIF('07.08'!$N$4:$N$11,A118,'07.08'!$O$4:$O$11)</f>
        <v>0</v>
      </c>
      <c r="O122" s="15">
        <f>SUMIF('08.08'!$B$4:$B$11,A118,'08.08'!$C$4:$C$11)+SUMIF('08.08'!$D$4:$D$11,A118,'08.08'!$E$4:$E$11)+SUMIF('08.08'!$F$4:$F$11,A118,'08.08'!$G$4:$G$11)+SUMIF('08.08'!$H$4:$H$11,A118,'08.08'!$I$4:$I$11)+SUMIF('08.08'!$J$4:$J$11,A118,'08.08'!$K$4:$K$11)+SUMIF('08.08'!$L$4:$L$11,A118,'08.08'!$M$4:$M$11)+SUMIF('08.08'!$N$4:$N$11,A118,'08.08'!$O$4:$O$11)</f>
        <v>0</v>
      </c>
      <c r="P122" s="15">
        <f>SUMIF('09.08'!$B$4:$B$11,A118,'09.08'!$C$4:$C$11)+SUMIF('09.08'!$D$4:$D$11,A118,'09.08'!$E$4:$E$11)+SUMIF('09.08'!$F$4:$F$11,A118,'09.08'!$G$4:$G$11)+SUMIF('09.08'!$H$4:$H$11,A118,'09.08'!$I$4:$I$11)+SUMIF('09.08'!$J$4:$J$11,A118,'09.08'!$K$4:$K$11)+SUMIF('09.08'!$L$4:$L$11,A118,'09.08'!$M$4:$M$11)+SUMIF('09.08'!$N$4:$N$11,A118,'09.08'!$O$4:$O$11)</f>
        <v>0</v>
      </c>
      <c r="Q122" s="15">
        <f>SUMIF('10.08'!$B$4:$B$11,A118,'10.08'!$C$4:$C$11)+SUMIF('10.08'!$D$4:$D$11,A118,'10.08'!$E$4:$E$11)+SUMIF('10.08'!$F$4:$F$11,A118,'10.08'!$G$4:$G$11)+SUMIF('10.08'!$H$4:$H$11,A118,'10.08'!$I$4:$I$11)+SUMIF('10.08'!$J$4:$J$11,A118,'10.08'!$K$4:$K$11)+SUMIF('10.08'!$L$4:$L$11,A118,'10.08'!$M$4:$M$11)+SUMIF('10.08'!$N$4:$N$11,A118,'10.08'!$O$4:$O$11)</f>
        <v>0</v>
      </c>
      <c r="R122" s="16" t="str">
        <f t="shared" si="14"/>
        <v>#N/A</v>
      </c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</row>
    <row r="123">
      <c r="A123" s="39" t="str">
        <f>'список продуктов'!A143</f>
        <v/>
      </c>
      <c r="B123" s="39" t="str">
        <f>'список продуктов'!B143</f>
        <v/>
      </c>
      <c r="C123" s="39" t="str">
        <f>'список продуктов'!C143</f>
        <v/>
      </c>
      <c r="D123" s="39" t="str">
        <f>'список продуктов'!D143</f>
        <v/>
      </c>
      <c r="E123" s="39" t="str">
        <f>'список продуктов'!E143</f>
        <v/>
      </c>
      <c r="F123" s="47" t="str">
        <f t="shared" si="15"/>
        <v>#N/A</v>
      </c>
      <c r="G123" s="47" t="str">
        <f t="shared" si="10"/>
        <v>Введите занчения</v>
      </c>
      <c r="H123" s="48" t="str">
        <f t="shared" si="12"/>
        <v>Введите занчения</v>
      </c>
      <c r="I123" s="14">
        <f>SUMIF('02.08'!$B$4:$B$11,A119,'02.08'!$C$4:$C$11)+SUMIF('02.08'!$D$4:$D$11,A119,'02.08'!$E$4:$E$11)+SUMIF('02.08'!$F$4:$F$11,A119,'02.08'!$G$4:$G$11)+SUMIF('02.08'!$H$4:$H$11,A119,'02.08'!$I$4:$I$11)+SUMIF('02.08'!$J$4:$J$11,A119,'02.08'!$K$4:$K$11)+SUMIF('02.08'!$L$4:$L$11,A119,'02.08'!$M$4:$M$11)+SUMIF('02.08'!$N$4:$N$11,A119,'02.08'!$O$4:$O$11)</f>
        <v>0</v>
      </c>
      <c r="J123" s="15">
        <f>SUMIF('03.08'!$B$4:$B$11,A119,'03.08'!$C$4:$C$11)+SUMIF('03.08'!$D$4:$D$11,A119,'03.08'!$E$4:$E$11)+SUMIF('03.08'!$F$4:$F$11,A119,'03.08'!$G$4:$G$11)+SUMIF('03.08'!$H$4:$H$11,A119,'03.08'!$I$4:$I$11)+SUMIF('03.08'!$J$4:$J$11,A119,'03.08'!$K$4:$K$11)+SUMIF('03.08'!$L$4:$L$11,A119,'03.08'!$M$4:$M$11)+SUMIF('03.08'!$N$4:$N$11,A119,'03.08'!$O$4:$O$11)</f>
        <v>0</v>
      </c>
      <c r="K123" s="15">
        <f>SUMIF('04.08'!$B$4:$B$11,A119,'04.08'!$C$4:$C$11)+SUMIF('04.08'!$D$4:$D$11,A119,'04.08'!$E$4:$E$11)+SUMIF('04.08'!$F$4:$F$11,A119,'04.08'!$G$4:$G$11)+SUMIF('04.08'!$H$4:$H$11,A119,'04.08'!$I$4:$I$11)+SUMIF('04.08'!$J$4:$J$11,A119,'04.08'!$K$4:$K$11)+SUMIF('04.08'!$L$4:$L$11,A119,'04.08'!$M$4:$M$11)+SUMIF('04.08'!$N$4:$N$11,A119,'04.08'!$O$4:$O$11)</f>
        <v>0</v>
      </c>
      <c r="L123" s="15">
        <f>SUMIF('05.08'!$B$4:$B$11,A119,'05.08'!$C$4:$C$11)+SUMIF('05.08'!$D$4:$D$11,A119,'05.08'!$E$4:$E$11)+SUMIF('05.08'!$F$4:$F$11,A119,'05.08'!$G$4:$G$11)+SUMIF('05.08'!$H$4:$H$11,A119,'05.08'!$I$4:$I$11)+SUMIF('05.08'!$J$4:$J$11,A119,'05.08'!$K$4:$K$11)+SUMIF('05.08'!$L$4:$L$11,A119,'05.08'!$M$4:$M$11)+SUMIF('05.08'!$N$4:$N$11,A119,'05.08'!$O$4:$O$11)</f>
        <v>0</v>
      </c>
      <c r="M123" s="15">
        <f>SUMIF('06.08'!$B$4:$B$11,A119,'06.08'!$C$4:$C$11)+SUMIF('06.08'!$D$4:$D$11,A119,'06.08'!$E$4:$E$11)+SUMIF('06.08'!$F$4:$F$11,A119,'06.08'!$G$4:$G$11)+SUMIF('06.08'!$H$4:$H$11,A119,'06.08'!$I$4:$I$11)+SUMIF('06.08'!$J$4:$J$11,A119,'06.08'!$K$4:$K$11)+SUMIF('06.08'!$L$4:$L$11,A119,'06.08'!$M$4:$M$11)+SUMIF('06.08'!$N$4:$N$11,A119,'06.08'!$O$4:$O$11)</f>
        <v>0</v>
      </c>
      <c r="N123" s="15">
        <f>SUMIF('07.08'!$B$4:$B$11,A119,'07.08'!$C$4:$C$11)+SUMIF('07.08'!$D$4:$D$11,A119,'07.08'!$E$4:$E$11)+SUMIF('07.08'!$F$4:$F$11,A119,'07.08'!$G$4:$G$11)+SUMIF('07.08'!$H$4:$H$11,A119,'07.08'!$I$4:$I$11)+SUMIF('07.08'!$J$4:$J$11,A119,'07.08'!$K$4:$K$11)+SUMIF('07.08'!$L$4:$L$11,A119,'07.08'!$M$4:$M$11)+SUMIF('07.08'!$N$4:$N$11,A119,'07.08'!$O$4:$O$11)</f>
        <v>0</v>
      </c>
      <c r="O123" s="15">
        <f>SUMIF('08.08'!$B$4:$B$11,A119,'08.08'!$C$4:$C$11)+SUMIF('08.08'!$D$4:$D$11,A119,'08.08'!$E$4:$E$11)+SUMIF('08.08'!$F$4:$F$11,A119,'08.08'!$G$4:$G$11)+SUMIF('08.08'!$H$4:$H$11,A119,'08.08'!$I$4:$I$11)+SUMIF('08.08'!$J$4:$J$11,A119,'08.08'!$K$4:$K$11)+SUMIF('08.08'!$L$4:$L$11,A119,'08.08'!$M$4:$M$11)+SUMIF('08.08'!$N$4:$N$11,A119,'08.08'!$O$4:$O$11)</f>
        <v>0</v>
      </c>
      <c r="P123" s="15">
        <f>SUMIF('09.08'!$B$4:$B$11,A119,'09.08'!$C$4:$C$11)+SUMIF('09.08'!$D$4:$D$11,A119,'09.08'!$E$4:$E$11)+SUMIF('09.08'!$F$4:$F$11,A119,'09.08'!$G$4:$G$11)+SUMIF('09.08'!$H$4:$H$11,A119,'09.08'!$I$4:$I$11)+SUMIF('09.08'!$J$4:$J$11,A119,'09.08'!$K$4:$K$11)+SUMIF('09.08'!$L$4:$L$11,A119,'09.08'!$M$4:$M$11)+SUMIF('09.08'!$N$4:$N$11,A119,'09.08'!$O$4:$O$11)</f>
        <v>0</v>
      </c>
      <c r="Q123" s="15">
        <f>SUMIF('10.08'!$B$4:$B$11,A119,'10.08'!$C$4:$C$11)+SUMIF('10.08'!$D$4:$D$11,A119,'10.08'!$E$4:$E$11)+SUMIF('10.08'!$F$4:$F$11,A119,'10.08'!$G$4:$G$11)+SUMIF('10.08'!$H$4:$H$11,A119,'10.08'!$I$4:$I$11)+SUMIF('10.08'!$J$4:$J$11,A119,'10.08'!$K$4:$K$11)+SUMIF('10.08'!$L$4:$L$11,A119,'10.08'!$M$4:$M$11)+SUMIF('10.08'!$N$4:$N$11,A119,'10.08'!$O$4:$O$11)</f>
        <v>0</v>
      </c>
      <c r="R123" s="16" t="str">
        <f t="shared" si="14"/>
        <v>#N/A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</row>
    <row r="124">
      <c r="A124" s="39" t="str">
        <f>'список продуктов'!A144</f>
        <v/>
      </c>
      <c r="B124" s="39" t="str">
        <f>'список продуктов'!B144</f>
        <v/>
      </c>
      <c r="C124" s="39" t="str">
        <f>'список продуктов'!C144</f>
        <v/>
      </c>
      <c r="D124" s="39" t="str">
        <f>'список продуктов'!D144</f>
        <v/>
      </c>
      <c r="E124" s="39" t="str">
        <f>'список продуктов'!E144</f>
        <v/>
      </c>
      <c r="F124" s="47" t="str">
        <f t="shared" si="15"/>
        <v>#N/A</v>
      </c>
      <c r="G124" s="47" t="str">
        <f t="shared" si="10"/>
        <v>Введите занчения</v>
      </c>
      <c r="H124" s="48" t="str">
        <f t="shared" si="12"/>
        <v>Введите занчения</v>
      </c>
      <c r="I124" s="14">
        <f>SUMIF('02.08'!$B$4:$B$11,A120,'02.08'!$C$4:$C$11)+SUMIF('02.08'!$D$4:$D$11,A120,'02.08'!$E$4:$E$11)+SUMIF('02.08'!$F$4:$F$11,A120,'02.08'!$G$4:$G$11)+SUMIF('02.08'!$H$4:$H$11,A120,'02.08'!$I$4:$I$11)+SUMIF('02.08'!$J$4:$J$11,A120,'02.08'!$K$4:$K$11)+SUMIF('02.08'!$L$4:$L$11,A120,'02.08'!$M$4:$M$11)+SUMIF('02.08'!$N$4:$N$11,A120,'02.08'!$O$4:$O$11)</f>
        <v>0</v>
      </c>
      <c r="J124" s="15">
        <f>SUMIF('03.08'!$B$4:$B$11,A120,'03.08'!$C$4:$C$11)+SUMIF('03.08'!$D$4:$D$11,A120,'03.08'!$E$4:$E$11)+SUMIF('03.08'!$F$4:$F$11,A120,'03.08'!$G$4:$G$11)+SUMIF('03.08'!$H$4:$H$11,A120,'03.08'!$I$4:$I$11)+SUMIF('03.08'!$J$4:$J$11,A120,'03.08'!$K$4:$K$11)+SUMIF('03.08'!$L$4:$L$11,A120,'03.08'!$M$4:$M$11)+SUMIF('03.08'!$N$4:$N$11,A120,'03.08'!$O$4:$O$11)</f>
        <v>0</v>
      </c>
      <c r="K124" s="15">
        <f>SUMIF('04.08'!$B$4:$B$11,A120,'04.08'!$C$4:$C$11)+SUMIF('04.08'!$D$4:$D$11,A120,'04.08'!$E$4:$E$11)+SUMIF('04.08'!$F$4:$F$11,A120,'04.08'!$G$4:$G$11)+SUMIF('04.08'!$H$4:$H$11,A120,'04.08'!$I$4:$I$11)+SUMIF('04.08'!$J$4:$J$11,A120,'04.08'!$K$4:$K$11)+SUMIF('04.08'!$L$4:$L$11,A120,'04.08'!$M$4:$M$11)+SUMIF('04.08'!$N$4:$N$11,A120,'04.08'!$O$4:$O$11)</f>
        <v>0</v>
      </c>
      <c r="L124" s="15">
        <f>SUMIF('05.08'!$B$4:$B$11,A120,'05.08'!$C$4:$C$11)+SUMIF('05.08'!$D$4:$D$11,A120,'05.08'!$E$4:$E$11)+SUMIF('05.08'!$F$4:$F$11,A120,'05.08'!$G$4:$G$11)+SUMIF('05.08'!$H$4:$H$11,A120,'05.08'!$I$4:$I$11)+SUMIF('05.08'!$J$4:$J$11,A120,'05.08'!$K$4:$K$11)+SUMIF('05.08'!$L$4:$L$11,A120,'05.08'!$M$4:$M$11)+SUMIF('05.08'!$N$4:$N$11,A120,'05.08'!$O$4:$O$11)</f>
        <v>0</v>
      </c>
      <c r="M124" s="15">
        <f>SUMIF('06.08'!$B$4:$B$11,A120,'06.08'!$C$4:$C$11)+SUMIF('06.08'!$D$4:$D$11,A120,'06.08'!$E$4:$E$11)+SUMIF('06.08'!$F$4:$F$11,A120,'06.08'!$G$4:$G$11)+SUMIF('06.08'!$H$4:$H$11,A120,'06.08'!$I$4:$I$11)+SUMIF('06.08'!$J$4:$J$11,A120,'06.08'!$K$4:$K$11)+SUMIF('06.08'!$L$4:$L$11,A120,'06.08'!$M$4:$M$11)+SUMIF('06.08'!$N$4:$N$11,A120,'06.08'!$O$4:$O$11)</f>
        <v>0</v>
      </c>
      <c r="N124" s="15">
        <f>SUMIF('07.08'!$B$4:$B$11,A120,'07.08'!$C$4:$C$11)+SUMIF('07.08'!$D$4:$D$11,A120,'07.08'!$E$4:$E$11)+SUMIF('07.08'!$F$4:$F$11,A120,'07.08'!$G$4:$G$11)+SUMIF('07.08'!$H$4:$H$11,A120,'07.08'!$I$4:$I$11)+SUMIF('07.08'!$J$4:$J$11,A120,'07.08'!$K$4:$K$11)+SUMIF('07.08'!$L$4:$L$11,A120,'07.08'!$M$4:$M$11)+SUMIF('07.08'!$N$4:$N$11,A120,'07.08'!$O$4:$O$11)</f>
        <v>0</v>
      </c>
      <c r="O124" s="15">
        <f>SUMIF('08.08'!$B$4:$B$11,A120,'08.08'!$C$4:$C$11)+SUMIF('08.08'!$D$4:$D$11,A120,'08.08'!$E$4:$E$11)+SUMIF('08.08'!$F$4:$F$11,A120,'08.08'!$G$4:$G$11)+SUMIF('08.08'!$H$4:$H$11,A120,'08.08'!$I$4:$I$11)+SUMIF('08.08'!$J$4:$J$11,A120,'08.08'!$K$4:$K$11)+SUMIF('08.08'!$L$4:$L$11,A120,'08.08'!$M$4:$M$11)+SUMIF('08.08'!$N$4:$N$11,A120,'08.08'!$O$4:$O$11)</f>
        <v>0</v>
      </c>
      <c r="P124" s="15">
        <f>SUMIF('09.08'!$B$4:$B$11,A120,'09.08'!$C$4:$C$11)+SUMIF('09.08'!$D$4:$D$11,A120,'09.08'!$E$4:$E$11)+SUMIF('09.08'!$F$4:$F$11,A120,'09.08'!$G$4:$G$11)+SUMIF('09.08'!$H$4:$H$11,A120,'09.08'!$I$4:$I$11)+SUMIF('09.08'!$J$4:$J$11,A120,'09.08'!$K$4:$K$11)+SUMIF('09.08'!$L$4:$L$11,A120,'09.08'!$M$4:$M$11)+SUMIF('09.08'!$N$4:$N$11,A120,'09.08'!$O$4:$O$11)</f>
        <v>0</v>
      </c>
      <c r="Q124" s="15">
        <f>SUMIF('10.08'!$B$4:$B$11,A120,'10.08'!$C$4:$C$11)+SUMIF('10.08'!$D$4:$D$11,A120,'10.08'!$E$4:$E$11)+SUMIF('10.08'!$F$4:$F$11,A120,'10.08'!$G$4:$G$11)+SUMIF('10.08'!$H$4:$H$11,A120,'10.08'!$I$4:$I$11)+SUMIF('10.08'!$J$4:$J$11,A120,'10.08'!$K$4:$K$11)+SUMIF('10.08'!$L$4:$L$11,A120,'10.08'!$M$4:$M$11)+SUMIF('10.08'!$N$4:$N$11,A120,'10.08'!$O$4:$O$11)</f>
        <v>0</v>
      </c>
      <c r="R124" s="16" t="str">
        <f t="shared" si="14"/>
        <v>#N/A</v>
      </c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</row>
    <row r="125">
      <c r="A125" s="39" t="str">
        <f>'список продуктов'!A145</f>
        <v/>
      </c>
      <c r="B125" s="39" t="str">
        <f>'список продуктов'!B145</f>
        <v/>
      </c>
      <c r="C125" s="39" t="str">
        <f>'список продуктов'!C145</f>
        <v/>
      </c>
      <c r="D125" s="39" t="str">
        <f>'список продуктов'!D145</f>
        <v/>
      </c>
      <c r="E125" s="39" t="str">
        <f>'список продуктов'!E145</f>
        <v/>
      </c>
      <c r="F125" s="47" t="str">
        <f t="shared" si="15"/>
        <v>#N/A</v>
      </c>
      <c r="G125" s="47" t="str">
        <f t="shared" si="10"/>
        <v>Введите занчения</v>
      </c>
      <c r="H125" s="48" t="str">
        <f t="shared" si="12"/>
        <v>Введите занчения</v>
      </c>
      <c r="I125" s="14">
        <f>SUMIF('02.08'!$B$4:$B$11,A121,'02.08'!$C$4:$C$11)+SUMIF('02.08'!$D$4:$D$11,A121,'02.08'!$E$4:$E$11)+SUMIF('02.08'!$F$4:$F$11,A121,'02.08'!$G$4:$G$11)+SUMIF('02.08'!$H$4:$H$11,A121,'02.08'!$I$4:$I$11)+SUMIF('02.08'!$J$4:$J$11,A121,'02.08'!$K$4:$K$11)+SUMIF('02.08'!$L$4:$L$11,A121,'02.08'!$M$4:$M$11)+SUMIF('02.08'!$N$4:$N$11,A121,'02.08'!$O$4:$O$11)</f>
        <v>0</v>
      </c>
      <c r="J125" s="15">
        <f>SUMIF('03.08'!$B$4:$B$11,A121,'03.08'!$C$4:$C$11)+SUMIF('03.08'!$D$4:$D$11,A121,'03.08'!$E$4:$E$11)+SUMIF('03.08'!$F$4:$F$11,A121,'03.08'!$G$4:$G$11)+SUMIF('03.08'!$H$4:$H$11,A121,'03.08'!$I$4:$I$11)+SUMIF('03.08'!$J$4:$J$11,A121,'03.08'!$K$4:$K$11)+SUMIF('03.08'!$L$4:$L$11,A121,'03.08'!$M$4:$M$11)+SUMIF('03.08'!$N$4:$N$11,A121,'03.08'!$O$4:$O$11)</f>
        <v>0</v>
      </c>
      <c r="K125" s="15">
        <f>SUMIF('04.08'!$B$4:$B$11,A121,'04.08'!$C$4:$C$11)+SUMIF('04.08'!$D$4:$D$11,A121,'04.08'!$E$4:$E$11)+SUMIF('04.08'!$F$4:$F$11,A121,'04.08'!$G$4:$G$11)+SUMIF('04.08'!$H$4:$H$11,A121,'04.08'!$I$4:$I$11)+SUMIF('04.08'!$J$4:$J$11,A121,'04.08'!$K$4:$K$11)+SUMIF('04.08'!$L$4:$L$11,A121,'04.08'!$M$4:$M$11)+SUMIF('04.08'!$N$4:$N$11,A121,'04.08'!$O$4:$O$11)</f>
        <v>0</v>
      </c>
      <c r="L125" s="15">
        <f>SUMIF('05.08'!$B$4:$B$11,A121,'05.08'!$C$4:$C$11)+SUMIF('05.08'!$D$4:$D$11,A121,'05.08'!$E$4:$E$11)+SUMIF('05.08'!$F$4:$F$11,A121,'05.08'!$G$4:$G$11)+SUMIF('05.08'!$H$4:$H$11,A121,'05.08'!$I$4:$I$11)+SUMIF('05.08'!$J$4:$J$11,A121,'05.08'!$K$4:$K$11)+SUMIF('05.08'!$L$4:$L$11,A121,'05.08'!$M$4:$M$11)+SUMIF('05.08'!$N$4:$N$11,A121,'05.08'!$O$4:$O$11)</f>
        <v>0</v>
      </c>
      <c r="M125" s="15">
        <f>SUMIF('06.08'!$B$4:$B$11,A121,'06.08'!$C$4:$C$11)+SUMIF('06.08'!$D$4:$D$11,A121,'06.08'!$E$4:$E$11)+SUMIF('06.08'!$F$4:$F$11,A121,'06.08'!$G$4:$G$11)+SUMIF('06.08'!$H$4:$H$11,A121,'06.08'!$I$4:$I$11)+SUMIF('06.08'!$J$4:$J$11,A121,'06.08'!$K$4:$K$11)+SUMIF('06.08'!$L$4:$L$11,A121,'06.08'!$M$4:$M$11)+SUMIF('06.08'!$N$4:$N$11,A121,'06.08'!$O$4:$O$11)</f>
        <v>0</v>
      </c>
      <c r="N125" s="15">
        <f>SUMIF('07.08'!$B$4:$B$11,A121,'07.08'!$C$4:$C$11)+SUMIF('07.08'!$D$4:$D$11,A121,'07.08'!$E$4:$E$11)+SUMIF('07.08'!$F$4:$F$11,A121,'07.08'!$G$4:$G$11)+SUMIF('07.08'!$H$4:$H$11,A121,'07.08'!$I$4:$I$11)+SUMIF('07.08'!$J$4:$J$11,A121,'07.08'!$K$4:$K$11)+SUMIF('07.08'!$L$4:$L$11,A121,'07.08'!$M$4:$M$11)+SUMIF('07.08'!$N$4:$N$11,A121,'07.08'!$O$4:$O$11)</f>
        <v>0</v>
      </c>
      <c r="O125" s="15">
        <f>SUMIF('08.08'!$B$4:$B$11,A121,'08.08'!$C$4:$C$11)+SUMIF('08.08'!$D$4:$D$11,A121,'08.08'!$E$4:$E$11)+SUMIF('08.08'!$F$4:$F$11,A121,'08.08'!$G$4:$G$11)+SUMIF('08.08'!$H$4:$H$11,A121,'08.08'!$I$4:$I$11)+SUMIF('08.08'!$J$4:$J$11,A121,'08.08'!$K$4:$K$11)+SUMIF('08.08'!$L$4:$L$11,A121,'08.08'!$M$4:$M$11)+SUMIF('08.08'!$N$4:$N$11,A121,'08.08'!$O$4:$O$11)</f>
        <v>0</v>
      </c>
      <c r="P125" s="15">
        <f>SUMIF('09.08'!$B$4:$B$11,A121,'09.08'!$C$4:$C$11)+SUMIF('09.08'!$D$4:$D$11,A121,'09.08'!$E$4:$E$11)+SUMIF('09.08'!$F$4:$F$11,A121,'09.08'!$G$4:$G$11)+SUMIF('09.08'!$H$4:$H$11,A121,'09.08'!$I$4:$I$11)+SUMIF('09.08'!$J$4:$J$11,A121,'09.08'!$K$4:$K$11)+SUMIF('09.08'!$L$4:$L$11,A121,'09.08'!$M$4:$M$11)+SUMIF('09.08'!$N$4:$N$11,A121,'09.08'!$O$4:$O$11)</f>
        <v>0</v>
      </c>
      <c r="Q125" s="15">
        <f>SUMIF('10.08'!$B$4:$B$11,A121,'10.08'!$C$4:$C$11)+SUMIF('10.08'!$D$4:$D$11,A121,'10.08'!$E$4:$E$11)+SUMIF('10.08'!$F$4:$F$11,A121,'10.08'!$G$4:$G$11)+SUMIF('10.08'!$H$4:$H$11,A121,'10.08'!$I$4:$I$11)+SUMIF('10.08'!$J$4:$J$11,A121,'10.08'!$K$4:$K$11)+SUMIF('10.08'!$L$4:$L$11,A121,'10.08'!$M$4:$M$11)+SUMIF('10.08'!$N$4:$N$11,A121,'10.08'!$O$4:$O$11)</f>
        <v>0</v>
      </c>
      <c r="R125" s="16" t="str">
        <f t="shared" si="14"/>
        <v>#N/A</v>
      </c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>
      <c r="A126" s="39" t="str">
        <f>'список продуктов'!A146</f>
        <v/>
      </c>
      <c r="B126" s="39" t="str">
        <f>'список продуктов'!B146</f>
        <v/>
      </c>
      <c r="C126" s="39" t="str">
        <f>'список продуктов'!C146</f>
        <v/>
      </c>
      <c r="D126" s="39" t="str">
        <f>'список продуктов'!D146</f>
        <v/>
      </c>
      <c r="E126" s="39" t="str">
        <f>'список продуктов'!E146</f>
        <v/>
      </c>
      <c r="F126" s="47" t="str">
        <f t="shared" si="15"/>
        <v>#N/A</v>
      </c>
      <c r="G126" s="47" t="str">
        <f t="shared" si="10"/>
        <v>Введите занчения</v>
      </c>
      <c r="H126" s="48" t="str">
        <f t="shared" si="12"/>
        <v>Введите занчения</v>
      </c>
      <c r="I126" s="14">
        <f>SUMIF('02.08'!$B$4:$B$11,A122,'02.08'!$C$4:$C$11)+SUMIF('02.08'!$D$4:$D$11,A122,'02.08'!$E$4:$E$11)+SUMIF('02.08'!$F$4:$F$11,A122,'02.08'!$G$4:$G$11)+SUMIF('02.08'!$H$4:$H$11,A122,'02.08'!$I$4:$I$11)+SUMIF('02.08'!$J$4:$J$11,A122,'02.08'!$K$4:$K$11)+SUMIF('02.08'!$L$4:$L$11,A122,'02.08'!$M$4:$M$11)+SUMIF('02.08'!$N$4:$N$11,A122,'02.08'!$O$4:$O$11)</f>
        <v>0</v>
      </c>
      <c r="J126" s="15">
        <f>SUMIF('03.08'!$B$4:$B$11,A122,'03.08'!$C$4:$C$11)+SUMIF('03.08'!$D$4:$D$11,A122,'03.08'!$E$4:$E$11)+SUMIF('03.08'!$F$4:$F$11,A122,'03.08'!$G$4:$G$11)+SUMIF('03.08'!$H$4:$H$11,A122,'03.08'!$I$4:$I$11)+SUMIF('03.08'!$J$4:$J$11,A122,'03.08'!$K$4:$K$11)+SUMIF('03.08'!$L$4:$L$11,A122,'03.08'!$M$4:$M$11)+SUMIF('03.08'!$N$4:$N$11,A122,'03.08'!$O$4:$O$11)</f>
        <v>0</v>
      </c>
      <c r="K126" s="15">
        <f>SUMIF('04.08'!$B$4:$B$11,A122,'04.08'!$C$4:$C$11)+SUMIF('04.08'!$D$4:$D$11,A122,'04.08'!$E$4:$E$11)+SUMIF('04.08'!$F$4:$F$11,A122,'04.08'!$G$4:$G$11)+SUMIF('04.08'!$H$4:$H$11,A122,'04.08'!$I$4:$I$11)+SUMIF('04.08'!$J$4:$J$11,A122,'04.08'!$K$4:$K$11)+SUMIF('04.08'!$L$4:$L$11,A122,'04.08'!$M$4:$M$11)+SUMIF('04.08'!$N$4:$N$11,A122,'04.08'!$O$4:$O$11)</f>
        <v>0</v>
      </c>
      <c r="L126" s="15">
        <f>SUMIF('05.08'!$B$4:$B$11,A122,'05.08'!$C$4:$C$11)+SUMIF('05.08'!$D$4:$D$11,A122,'05.08'!$E$4:$E$11)+SUMIF('05.08'!$F$4:$F$11,A122,'05.08'!$G$4:$G$11)+SUMIF('05.08'!$H$4:$H$11,A122,'05.08'!$I$4:$I$11)+SUMIF('05.08'!$J$4:$J$11,A122,'05.08'!$K$4:$K$11)+SUMIF('05.08'!$L$4:$L$11,A122,'05.08'!$M$4:$M$11)+SUMIF('05.08'!$N$4:$N$11,A122,'05.08'!$O$4:$O$11)</f>
        <v>0</v>
      </c>
      <c r="M126" s="15">
        <f>SUMIF('06.08'!$B$4:$B$11,A122,'06.08'!$C$4:$C$11)+SUMIF('06.08'!$D$4:$D$11,A122,'06.08'!$E$4:$E$11)+SUMIF('06.08'!$F$4:$F$11,A122,'06.08'!$G$4:$G$11)+SUMIF('06.08'!$H$4:$H$11,A122,'06.08'!$I$4:$I$11)+SUMIF('06.08'!$J$4:$J$11,A122,'06.08'!$K$4:$K$11)+SUMIF('06.08'!$L$4:$L$11,A122,'06.08'!$M$4:$M$11)+SUMIF('06.08'!$N$4:$N$11,A122,'06.08'!$O$4:$O$11)</f>
        <v>0</v>
      </c>
      <c r="N126" s="15">
        <f>SUMIF('07.08'!$B$4:$B$11,A122,'07.08'!$C$4:$C$11)+SUMIF('07.08'!$D$4:$D$11,A122,'07.08'!$E$4:$E$11)+SUMIF('07.08'!$F$4:$F$11,A122,'07.08'!$G$4:$G$11)+SUMIF('07.08'!$H$4:$H$11,A122,'07.08'!$I$4:$I$11)+SUMIF('07.08'!$J$4:$J$11,A122,'07.08'!$K$4:$K$11)+SUMIF('07.08'!$L$4:$L$11,A122,'07.08'!$M$4:$M$11)+SUMIF('07.08'!$N$4:$N$11,A122,'07.08'!$O$4:$O$11)</f>
        <v>0</v>
      </c>
      <c r="O126" s="15">
        <f>SUMIF('08.08'!$B$4:$B$11,A122,'08.08'!$C$4:$C$11)+SUMIF('08.08'!$D$4:$D$11,A122,'08.08'!$E$4:$E$11)+SUMIF('08.08'!$F$4:$F$11,A122,'08.08'!$G$4:$G$11)+SUMIF('08.08'!$H$4:$H$11,A122,'08.08'!$I$4:$I$11)+SUMIF('08.08'!$J$4:$J$11,A122,'08.08'!$K$4:$K$11)+SUMIF('08.08'!$L$4:$L$11,A122,'08.08'!$M$4:$M$11)+SUMIF('08.08'!$N$4:$N$11,A122,'08.08'!$O$4:$O$11)</f>
        <v>0</v>
      </c>
      <c r="P126" s="15">
        <f>SUMIF('09.08'!$B$4:$B$11,A122,'09.08'!$C$4:$C$11)+SUMIF('09.08'!$D$4:$D$11,A122,'09.08'!$E$4:$E$11)+SUMIF('09.08'!$F$4:$F$11,A122,'09.08'!$G$4:$G$11)+SUMIF('09.08'!$H$4:$H$11,A122,'09.08'!$I$4:$I$11)+SUMIF('09.08'!$J$4:$J$11,A122,'09.08'!$K$4:$K$11)+SUMIF('09.08'!$L$4:$L$11,A122,'09.08'!$M$4:$M$11)+SUMIF('09.08'!$N$4:$N$11,A122,'09.08'!$O$4:$O$11)</f>
        <v>0</v>
      </c>
      <c r="Q126" s="15">
        <f>SUMIF('10.08'!$B$4:$B$11,A122,'10.08'!$C$4:$C$11)+SUMIF('10.08'!$D$4:$D$11,A122,'10.08'!$E$4:$E$11)+SUMIF('10.08'!$F$4:$F$11,A122,'10.08'!$G$4:$G$11)+SUMIF('10.08'!$H$4:$H$11,A122,'10.08'!$I$4:$I$11)+SUMIF('10.08'!$J$4:$J$11,A122,'10.08'!$K$4:$K$11)+SUMIF('10.08'!$L$4:$L$11,A122,'10.08'!$M$4:$M$11)+SUMIF('10.08'!$N$4:$N$11,A122,'10.08'!$O$4:$O$11)</f>
        <v>0</v>
      </c>
      <c r="R126" s="16" t="str">
        <f t="shared" si="14"/>
        <v>#N/A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</row>
    <row r="127">
      <c r="A127" s="39" t="str">
        <f>'список продуктов'!A147</f>
        <v/>
      </c>
      <c r="B127" s="39" t="str">
        <f>'список продуктов'!B147</f>
        <v/>
      </c>
      <c r="C127" s="39" t="str">
        <f>'список продуктов'!C147</f>
        <v/>
      </c>
      <c r="D127" s="39" t="str">
        <f>'список продуктов'!D147</f>
        <v/>
      </c>
      <c r="E127" s="39" t="str">
        <f>'список продуктов'!E147</f>
        <v/>
      </c>
      <c r="F127" s="47" t="str">
        <f t="shared" si="15"/>
        <v>#N/A</v>
      </c>
      <c r="G127" s="47" t="str">
        <f t="shared" si="10"/>
        <v>Введите занчения</v>
      </c>
      <c r="H127" s="48" t="str">
        <f t="shared" si="12"/>
        <v>Введите занчения</v>
      </c>
      <c r="I127" s="14">
        <f>SUMIF('02.08'!$B$4:$B$11,A123,'02.08'!$C$4:$C$11)+SUMIF('02.08'!$D$4:$D$11,A123,'02.08'!$E$4:$E$11)+SUMIF('02.08'!$F$4:$F$11,A123,'02.08'!$G$4:$G$11)+SUMIF('02.08'!$H$4:$H$11,A123,'02.08'!$I$4:$I$11)+SUMIF('02.08'!$J$4:$J$11,A123,'02.08'!$K$4:$K$11)+SUMIF('02.08'!$L$4:$L$11,A123,'02.08'!$M$4:$M$11)+SUMIF('02.08'!$N$4:$N$11,A123,'02.08'!$O$4:$O$11)</f>
        <v>0</v>
      </c>
      <c r="J127" s="15">
        <f>SUMIF('03.08'!$B$4:$B$11,A123,'03.08'!$C$4:$C$11)+SUMIF('03.08'!$D$4:$D$11,A123,'03.08'!$E$4:$E$11)+SUMIF('03.08'!$F$4:$F$11,A123,'03.08'!$G$4:$G$11)+SUMIF('03.08'!$H$4:$H$11,A123,'03.08'!$I$4:$I$11)+SUMIF('03.08'!$J$4:$J$11,A123,'03.08'!$K$4:$K$11)+SUMIF('03.08'!$L$4:$L$11,A123,'03.08'!$M$4:$M$11)+SUMIF('03.08'!$N$4:$N$11,A123,'03.08'!$O$4:$O$11)</f>
        <v>0</v>
      </c>
      <c r="K127" s="15">
        <f>SUMIF('04.08'!$B$4:$B$11,A123,'04.08'!$C$4:$C$11)+SUMIF('04.08'!$D$4:$D$11,A123,'04.08'!$E$4:$E$11)+SUMIF('04.08'!$F$4:$F$11,A123,'04.08'!$G$4:$G$11)+SUMIF('04.08'!$H$4:$H$11,A123,'04.08'!$I$4:$I$11)+SUMIF('04.08'!$J$4:$J$11,A123,'04.08'!$K$4:$K$11)+SUMIF('04.08'!$L$4:$L$11,A123,'04.08'!$M$4:$M$11)+SUMIF('04.08'!$N$4:$N$11,A123,'04.08'!$O$4:$O$11)</f>
        <v>0</v>
      </c>
      <c r="L127" s="15">
        <f>SUMIF('05.08'!$B$4:$B$11,A123,'05.08'!$C$4:$C$11)+SUMIF('05.08'!$D$4:$D$11,A123,'05.08'!$E$4:$E$11)+SUMIF('05.08'!$F$4:$F$11,A123,'05.08'!$G$4:$G$11)+SUMIF('05.08'!$H$4:$H$11,A123,'05.08'!$I$4:$I$11)+SUMIF('05.08'!$J$4:$J$11,A123,'05.08'!$K$4:$K$11)+SUMIF('05.08'!$L$4:$L$11,A123,'05.08'!$M$4:$M$11)+SUMIF('05.08'!$N$4:$N$11,A123,'05.08'!$O$4:$O$11)</f>
        <v>0</v>
      </c>
      <c r="M127" s="15">
        <f>SUMIF('06.08'!$B$4:$B$11,A123,'06.08'!$C$4:$C$11)+SUMIF('06.08'!$D$4:$D$11,A123,'06.08'!$E$4:$E$11)+SUMIF('06.08'!$F$4:$F$11,A123,'06.08'!$G$4:$G$11)+SUMIF('06.08'!$H$4:$H$11,A123,'06.08'!$I$4:$I$11)+SUMIF('06.08'!$J$4:$J$11,A123,'06.08'!$K$4:$K$11)+SUMIF('06.08'!$L$4:$L$11,A123,'06.08'!$M$4:$M$11)+SUMIF('06.08'!$N$4:$N$11,A123,'06.08'!$O$4:$O$11)</f>
        <v>0</v>
      </c>
      <c r="N127" s="15">
        <f>SUMIF('07.08'!$B$4:$B$11,A123,'07.08'!$C$4:$C$11)+SUMIF('07.08'!$D$4:$D$11,A123,'07.08'!$E$4:$E$11)+SUMIF('07.08'!$F$4:$F$11,A123,'07.08'!$G$4:$G$11)+SUMIF('07.08'!$H$4:$H$11,A123,'07.08'!$I$4:$I$11)+SUMIF('07.08'!$J$4:$J$11,A123,'07.08'!$K$4:$K$11)+SUMIF('07.08'!$L$4:$L$11,A123,'07.08'!$M$4:$M$11)+SUMIF('07.08'!$N$4:$N$11,A123,'07.08'!$O$4:$O$11)</f>
        <v>0</v>
      </c>
      <c r="O127" s="15">
        <f>SUMIF('08.08'!$B$4:$B$11,A123,'08.08'!$C$4:$C$11)+SUMIF('08.08'!$D$4:$D$11,A123,'08.08'!$E$4:$E$11)+SUMIF('08.08'!$F$4:$F$11,A123,'08.08'!$G$4:$G$11)+SUMIF('08.08'!$H$4:$H$11,A123,'08.08'!$I$4:$I$11)+SUMIF('08.08'!$J$4:$J$11,A123,'08.08'!$K$4:$K$11)+SUMIF('08.08'!$L$4:$L$11,A123,'08.08'!$M$4:$M$11)+SUMIF('08.08'!$N$4:$N$11,A123,'08.08'!$O$4:$O$11)</f>
        <v>0</v>
      </c>
      <c r="P127" s="15">
        <f>SUMIF('09.08'!$B$4:$B$11,A123,'09.08'!$C$4:$C$11)+SUMIF('09.08'!$D$4:$D$11,A123,'09.08'!$E$4:$E$11)+SUMIF('09.08'!$F$4:$F$11,A123,'09.08'!$G$4:$G$11)+SUMIF('09.08'!$H$4:$H$11,A123,'09.08'!$I$4:$I$11)+SUMIF('09.08'!$J$4:$J$11,A123,'09.08'!$K$4:$K$11)+SUMIF('09.08'!$L$4:$L$11,A123,'09.08'!$M$4:$M$11)+SUMIF('09.08'!$N$4:$N$11,A123,'09.08'!$O$4:$O$11)</f>
        <v>0</v>
      </c>
      <c r="Q127" s="15">
        <f>SUMIF('10.08'!$B$4:$B$11,A123,'10.08'!$C$4:$C$11)+SUMIF('10.08'!$D$4:$D$11,A123,'10.08'!$E$4:$E$11)+SUMIF('10.08'!$F$4:$F$11,A123,'10.08'!$G$4:$G$11)+SUMIF('10.08'!$H$4:$H$11,A123,'10.08'!$I$4:$I$11)+SUMIF('10.08'!$J$4:$J$11,A123,'10.08'!$K$4:$K$11)+SUMIF('10.08'!$L$4:$L$11,A123,'10.08'!$M$4:$M$11)+SUMIF('10.08'!$N$4:$N$11,A123,'10.08'!$O$4:$O$11)</f>
        <v>0</v>
      </c>
      <c r="R127" s="16" t="str">
        <f t="shared" si="14"/>
        <v>#N/A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</row>
    <row r="128">
      <c r="A128" s="39" t="str">
        <f>'список продуктов'!A148</f>
        <v/>
      </c>
      <c r="B128" s="39" t="str">
        <f>'список продуктов'!B148</f>
        <v/>
      </c>
      <c r="C128" s="39" t="str">
        <f>'список продуктов'!C148</f>
        <v/>
      </c>
      <c r="D128" s="39" t="str">
        <f>'список продуктов'!D148</f>
        <v/>
      </c>
      <c r="E128" s="39" t="str">
        <f>'список продуктов'!E148</f>
        <v/>
      </c>
      <c r="F128" s="47" t="str">
        <f t="shared" si="15"/>
        <v>#N/A</v>
      </c>
      <c r="G128" s="47" t="str">
        <f t="shared" si="10"/>
        <v>Введите занчения</v>
      </c>
      <c r="H128" s="48" t="str">
        <f t="shared" si="12"/>
        <v>Введите занчения</v>
      </c>
      <c r="I128" s="14">
        <f>SUMIF('02.08'!$B$4:$B$11,A124,'02.08'!$C$4:$C$11)+SUMIF('02.08'!$D$4:$D$11,A124,'02.08'!$E$4:$E$11)+SUMIF('02.08'!$F$4:$F$11,A124,'02.08'!$G$4:$G$11)+SUMIF('02.08'!$H$4:$H$11,A124,'02.08'!$I$4:$I$11)+SUMIF('02.08'!$J$4:$J$11,A124,'02.08'!$K$4:$K$11)+SUMIF('02.08'!$L$4:$L$11,A124,'02.08'!$M$4:$M$11)+SUMIF('02.08'!$N$4:$N$11,A124,'02.08'!$O$4:$O$11)</f>
        <v>0</v>
      </c>
      <c r="J128" s="15">
        <f>SUMIF('03.08'!$B$4:$B$11,A124,'03.08'!$C$4:$C$11)+SUMIF('03.08'!$D$4:$D$11,A124,'03.08'!$E$4:$E$11)+SUMIF('03.08'!$F$4:$F$11,A124,'03.08'!$G$4:$G$11)+SUMIF('03.08'!$H$4:$H$11,A124,'03.08'!$I$4:$I$11)+SUMIF('03.08'!$J$4:$J$11,A124,'03.08'!$K$4:$K$11)+SUMIF('03.08'!$L$4:$L$11,A124,'03.08'!$M$4:$M$11)+SUMIF('03.08'!$N$4:$N$11,A124,'03.08'!$O$4:$O$11)</f>
        <v>0</v>
      </c>
      <c r="K128" s="15">
        <f>SUMIF('04.08'!$B$4:$B$11,A124,'04.08'!$C$4:$C$11)+SUMIF('04.08'!$D$4:$D$11,A124,'04.08'!$E$4:$E$11)+SUMIF('04.08'!$F$4:$F$11,A124,'04.08'!$G$4:$G$11)+SUMIF('04.08'!$H$4:$H$11,A124,'04.08'!$I$4:$I$11)+SUMIF('04.08'!$J$4:$J$11,A124,'04.08'!$K$4:$K$11)+SUMIF('04.08'!$L$4:$L$11,A124,'04.08'!$M$4:$M$11)+SUMIF('04.08'!$N$4:$N$11,A124,'04.08'!$O$4:$O$11)</f>
        <v>0</v>
      </c>
      <c r="L128" s="15">
        <f>SUMIF('05.08'!$B$4:$B$11,A124,'05.08'!$C$4:$C$11)+SUMIF('05.08'!$D$4:$D$11,A124,'05.08'!$E$4:$E$11)+SUMIF('05.08'!$F$4:$F$11,A124,'05.08'!$G$4:$G$11)+SUMIF('05.08'!$H$4:$H$11,A124,'05.08'!$I$4:$I$11)+SUMIF('05.08'!$J$4:$J$11,A124,'05.08'!$K$4:$K$11)+SUMIF('05.08'!$L$4:$L$11,A124,'05.08'!$M$4:$M$11)+SUMIF('05.08'!$N$4:$N$11,A124,'05.08'!$O$4:$O$11)</f>
        <v>0</v>
      </c>
      <c r="M128" s="15">
        <f>SUMIF('06.08'!$B$4:$B$11,A124,'06.08'!$C$4:$C$11)+SUMIF('06.08'!$D$4:$D$11,A124,'06.08'!$E$4:$E$11)+SUMIF('06.08'!$F$4:$F$11,A124,'06.08'!$G$4:$G$11)+SUMIF('06.08'!$H$4:$H$11,A124,'06.08'!$I$4:$I$11)+SUMIF('06.08'!$J$4:$J$11,A124,'06.08'!$K$4:$K$11)+SUMIF('06.08'!$L$4:$L$11,A124,'06.08'!$M$4:$M$11)+SUMIF('06.08'!$N$4:$N$11,A124,'06.08'!$O$4:$O$11)</f>
        <v>0</v>
      </c>
      <c r="N128" s="15">
        <f>SUMIF('07.08'!$B$4:$B$11,A124,'07.08'!$C$4:$C$11)+SUMIF('07.08'!$D$4:$D$11,A124,'07.08'!$E$4:$E$11)+SUMIF('07.08'!$F$4:$F$11,A124,'07.08'!$G$4:$G$11)+SUMIF('07.08'!$H$4:$H$11,A124,'07.08'!$I$4:$I$11)+SUMIF('07.08'!$J$4:$J$11,A124,'07.08'!$K$4:$K$11)+SUMIF('07.08'!$L$4:$L$11,A124,'07.08'!$M$4:$M$11)+SUMIF('07.08'!$N$4:$N$11,A124,'07.08'!$O$4:$O$11)</f>
        <v>0</v>
      </c>
      <c r="O128" s="15">
        <f>SUMIF('08.08'!$B$4:$B$11,A124,'08.08'!$C$4:$C$11)+SUMIF('08.08'!$D$4:$D$11,A124,'08.08'!$E$4:$E$11)+SUMIF('08.08'!$F$4:$F$11,A124,'08.08'!$G$4:$G$11)+SUMIF('08.08'!$H$4:$H$11,A124,'08.08'!$I$4:$I$11)+SUMIF('08.08'!$J$4:$J$11,A124,'08.08'!$K$4:$K$11)+SUMIF('08.08'!$L$4:$L$11,A124,'08.08'!$M$4:$M$11)+SUMIF('08.08'!$N$4:$N$11,A124,'08.08'!$O$4:$O$11)</f>
        <v>0</v>
      </c>
      <c r="P128" s="15">
        <f>SUMIF('09.08'!$B$4:$B$11,A124,'09.08'!$C$4:$C$11)+SUMIF('09.08'!$D$4:$D$11,A124,'09.08'!$E$4:$E$11)+SUMIF('09.08'!$F$4:$F$11,A124,'09.08'!$G$4:$G$11)+SUMIF('09.08'!$H$4:$H$11,A124,'09.08'!$I$4:$I$11)+SUMIF('09.08'!$J$4:$J$11,A124,'09.08'!$K$4:$K$11)+SUMIF('09.08'!$L$4:$L$11,A124,'09.08'!$M$4:$M$11)+SUMIF('09.08'!$N$4:$N$11,A124,'09.08'!$O$4:$O$11)</f>
        <v>0</v>
      </c>
      <c r="Q128" s="15">
        <f>SUMIF('10.08'!$B$4:$B$11,A124,'10.08'!$C$4:$C$11)+SUMIF('10.08'!$D$4:$D$11,A124,'10.08'!$E$4:$E$11)+SUMIF('10.08'!$F$4:$F$11,A124,'10.08'!$G$4:$G$11)+SUMIF('10.08'!$H$4:$H$11,A124,'10.08'!$I$4:$I$11)+SUMIF('10.08'!$J$4:$J$11,A124,'10.08'!$K$4:$K$11)+SUMIF('10.08'!$L$4:$L$11,A124,'10.08'!$M$4:$M$11)+SUMIF('10.08'!$N$4:$N$11,A124,'10.08'!$O$4:$O$11)</f>
        <v>0</v>
      </c>
      <c r="R128" s="16" t="str">
        <f t="shared" si="14"/>
        <v>#N/A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</row>
    <row r="129">
      <c r="A129" s="39" t="str">
        <f>'список продуктов'!A149</f>
        <v/>
      </c>
      <c r="B129" s="39" t="str">
        <f>'список продуктов'!B149</f>
        <v/>
      </c>
      <c r="C129" s="39" t="str">
        <f>'список продуктов'!C149</f>
        <v/>
      </c>
      <c r="D129" s="39" t="str">
        <f>'список продуктов'!D149</f>
        <v/>
      </c>
      <c r="E129" s="39" t="str">
        <f>'список продуктов'!E149</f>
        <v/>
      </c>
      <c r="F129" s="47" t="str">
        <f t="shared" si="15"/>
        <v>#N/A</v>
      </c>
      <c r="G129" s="47" t="str">
        <f t="shared" si="10"/>
        <v>Введите занчения</v>
      </c>
      <c r="H129" s="48" t="str">
        <f t="shared" si="12"/>
        <v>Введите занчения</v>
      </c>
      <c r="I129" s="14">
        <f>SUMIF('02.08'!$B$4:$B$11,A125,'02.08'!$C$4:$C$11)+SUMIF('02.08'!$D$4:$D$11,A125,'02.08'!$E$4:$E$11)+SUMIF('02.08'!$F$4:$F$11,A125,'02.08'!$G$4:$G$11)+SUMIF('02.08'!$H$4:$H$11,A125,'02.08'!$I$4:$I$11)+SUMIF('02.08'!$J$4:$J$11,A125,'02.08'!$K$4:$K$11)+SUMIF('02.08'!$L$4:$L$11,A125,'02.08'!$M$4:$M$11)+SUMIF('02.08'!$N$4:$N$11,A125,'02.08'!$O$4:$O$11)</f>
        <v>0</v>
      </c>
      <c r="J129" s="15">
        <f>SUMIF('03.08'!$B$4:$B$11,A125,'03.08'!$C$4:$C$11)+SUMIF('03.08'!$D$4:$D$11,A125,'03.08'!$E$4:$E$11)+SUMIF('03.08'!$F$4:$F$11,A125,'03.08'!$G$4:$G$11)+SUMIF('03.08'!$H$4:$H$11,A125,'03.08'!$I$4:$I$11)+SUMIF('03.08'!$J$4:$J$11,A125,'03.08'!$K$4:$K$11)+SUMIF('03.08'!$L$4:$L$11,A125,'03.08'!$M$4:$M$11)+SUMIF('03.08'!$N$4:$N$11,A125,'03.08'!$O$4:$O$11)</f>
        <v>0</v>
      </c>
      <c r="K129" s="15">
        <f>SUMIF('04.08'!$B$4:$B$11,A125,'04.08'!$C$4:$C$11)+SUMIF('04.08'!$D$4:$D$11,A125,'04.08'!$E$4:$E$11)+SUMIF('04.08'!$F$4:$F$11,A125,'04.08'!$G$4:$G$11)+SUMIF('04.08'!$H$4:$H$11,A125,'04.08'!$I$4:$I$11)+SUMIF('04.08'!$J$4:$J$11,A125,'04.08'!$K$4:$K$11)+SUMIF('04.08'!$L$4:$L$11,A125,'04.08'!$M$4:$M$11)+SUMIF('04.08'!$N$4:$N$11,A125,'04.08'!$O$4:$O$11)</f>
        <v>0</v>
      </c>
      <c r="L129" s="15">
        <f>SUMIF('05.08'!$B$4:$B$11,A125,'05.08'!$C$4:$C$11)+SUMIF('05.08'!$D$4:$D$11,A125,'05.08'!$E$4:$E$11)+SUMIF('05.08'!$F$4:$F$11,A125,'05.08'!$G$4:$G$11)+SUMIF('05.08'!$H$4:$H$11,A125,'05.08'!$I$4:$I$11)+SUMIF('05.08'!$J$4:$J$11,A125,'05.08'!$K$4:$K$11)+SUMIF('05.08'!$L$4:$L$11,A125,'05.08'!$M$4:$M$11)+SUMIF('05.08'!$N$4:$N$11,A125,'05.08'!$O$4:$O$11)</f>
        <v>0</v>
      </c>
      <c r="M129" s="15">
        <f>SUMIF('06.08'!$B$4:$B$11,A125,'06.08'!$C$4:$C$11)+SUMIF('06.08'!$D$4:$D$11,A125,'06.08'!$E$4:$E$11)+SUMIF('06.08'!$F$4:$F$11,A125,'06.08'!$G$4:$G$11)+SUMIF('06.08'!$H$4:$H$11,A125,'06.08'!$I$4:$I$11)+SUMIF('06.08'!$J$4:$J$11,A125,'06.08'!$K$4:$K$11)+SUMIF('06.08'!$L$4:$L$11,A125,'06.08'!$M$4:$M$11)+SUMIF('06.08'!$N$4:$N$11,A125,'06.08'!$O$4:$O$11)</f>
        <v>0</v>
      </c>
      <c r="N129" s="15">
        <f>SUMIF('07.08'!$B$4:$B$11,A125,'07.08'!$C$4:$C$11)+SUMIF('07.08'!$D$4:$D$11,A125,'07.08'!$E$4:$E$11)+SUMIF('07.08'!$F$4:$F$11,A125,'07.08'!$G$4:$G$11)+SUMIF('07.08'!$H$4:$H$11,A125,'07.08'!$I$4:$I$11)+SUMIF('07.08'!$J$4:$J$11,A125,'07.08'!$K$4:$K$11)+SUMIF('07.08'!$L$4:$L$11,A125,'07.08'!$M$4:$M$11)+SUMIF('07.08'!$N$4:$N$11,A125,'07.08'!$O$4:$O$11)</f>
        <v>0</v>
      </c>
      <c r="O129" s="15">
        <f>SUMIF('08.08'!$B$4:$B$11,A125,'08.08'!$C$4:$C$11)+SUMIF('08.08'!$D$4:$D$11,A125,'08.08'!$E$4:$E$11)+SUMIF('08.08'!$F$4:$F$11,A125,'08.08'!$G$4:$G$11)+SUMIF('08.08'!$H$4:$H$11,A125,'08.08'!$I$4:$I$11)+SUMIF('08.08'!$J$4:$J$11,A125,'08.08'!$K$4:$K$11)+SUMIF('08.08'!$L$4:$L$11,A125,'08.08'!$M$4:$M$11)+SUMIF('08.08'!$N$4:$N$11,A125,'08.08'!$O$4:$O$11)</f>
        <v>0</v>
      </c>
      <c r="P129" s="15">
        <f>SUMIF('09.08'!$B$4:$B$11,A125,'09.08'!$C$4:$C$11)+SUMIF('09.08'!$D$4:$D$11,A125,'09.08'!$E$4:$E$11)+SUMIF('09.08'!$F$4:$F$11,A125,'09.08'!$G$4:$G$11)+SUMIF('09.08'!$H$4:$H$11,A125,'09.08'!$I$4:$I$11)+SUMIF('09.08'!$J$4:$J$11,A125,'09.08'!$K$4:$K$11)+SUMIF('09.08'!$L$4:$L$11,A125,'09.08'!$M$4:$M$11)+SUMIF('09.08'!$N$4:$N$11,A125,'09.08'!$O$4:$O$11)</f>
        <v>0</v>
      </c>
      <c r="Q129" s="15">
        <f>SUMIF('10.08'!$B$4:$B$11,A125,'10.08'!$C$4:$C$11)+SUMIF('10.08'!$D$4:$D$11,A125,'10.08'!$E$4:$E$11)+SUMIF('10.08'!$F$4:$F$11,A125,'10.08'!$G$4:$G$11)+SUMIF('10.08'!$H$4:$H$11,A125,'10.08'!$I$4:$I$11)+SUMIF('10.08'!$J$4:$J$11,A125,'10.08'!$K$4:$K$11)+SUMIF('10.08'!$L$4:$L$11,A125,'10.08'!$M$4:$M$11)+SUMIF('10.08'!$N$4:$N$11,A125,'10.08'!$O$4:$O$11)</f>
        <v>0</v>
      </c>
      <c r="R129" s="16" t="str">
        <f t="shared" si="14"/>
        <v>#N/A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</row>
    <row r="130">
      <c r="A130" s="39" t="str">
        <f>'список продуктов'!A150</f>
        <v/>
      </c>
      <c r="B130" s="39" t="str">
        <f>'список продуктов'!B150</f>
        <v/>
      </c>
      <c r="C130" s="39" t="str">
        <f>'список продуктов'!C150</f>
        <v/>
      </c>
      <c r="D130" s="39" t="str">
        <f>'список продуктов'!D150</f>
        <v/>
      </c>
      <c r="E130" s="39" t="str">
        <f>'список продуктов'!E150</f>
        <v/>
      </c>
      <c r="F130" s="47" t="str">
        <f t="shared" si="15"/>
        <v>#N/A</v>
      </c>
      <c r="G130" s="47" t="str">
        <f t="shared" si="10"/>
        <v>Введите занчения</v>
      </c>
      <c r="H130" s="48" t="str">
        <f t="shared" si="12"/>
        <v>Введите занчения</v>
      </c>
      <c r="I130" s="14">
        <f>SUMIF('02.08'!$B$4:$B$11,A126,'02.08'!$C$4:$C$11)+SUMIF('02.08'!$D$4:$D$11,A126,'02.08'!$E$4:$E$11)+SUMIF('02.08'!$F$4:$F$11,A126,'02.08'!$G$4:$G$11)+SUMIF('02.08'!$H$4:$H$11,A126,'02.08'!$I$4:$I$11)+SUMIF('02.08'!$J$4:$J$11,A126,'02.08'!$K$4:$K$11)+SUMIF('02.08'!$L$4:$L$11,A126,'02.08'!$M$4:$M$11)+SUMIF('02.08'!$N$4:$N$11,A126,'02.08'!$O$4:$O$11)</f>
        <v>0</v>
      </c>
      <c r="J130" s="15">
        <f>SUMIF('03.08'!$B$4:$B$11,A126,'03.08'!$C$4:$C$11)+SUMIF('03.08'!$D$4:$D$11,A126,'03.08'!$E$4:$E$11)+SUMIF('03.08'!$F$4:$F$11,A126,'03.08'!$G$4:$G$11)+SUMIF('03.08'!$H$4:$H$11,A126,'03.08'!$I$4:$I$11)+SUMIF('03.08'!$J$4:$J$11,A126,'03.08'!$K$4:$K$11)+SUMIF('03.08'!$L$4:$L$11,A126,'03.08'!$M$4:$M$11)+SUMIF('03.08'!$N$4:$N$11,A126,'03.08'!$O$4:$O$11)</f>
        <v>0</v>
      </c>
      <c r="K130" s="15">
        <f>SUMIF('04.08'!$B$4:$B$11,A126,'04.08'!$C$4:$C$11)+SUMIF('04.08'!$D$4:$D$11,A126,'04.08'!$E$4:$E$11)+SUMIF('04.08'!$F$4:$F$11,A126,'04.08'!$G$4:$G$11)+SUMIF('04.08'!$H$4:$H$11,A126,'04.08'!$I$4:$I$11)+SUMIF('04.08'!$J$4:$J$11,A126,'04.08'!$K$4:$K$11)+SUMIF('04.08'!$L$4:$L$11,A126,'04.08'!$M$4:$M$11)+SUMIF('04.08'!$N$4:$N$11,A126,'04.08'!$O$4:$O$11)</f>
        <v>0</v>
      </c>
      <c r="L130" s="15">
        <f>SUMIF('05.08'!$B$4:$B$11,A126,'05.08'!$C$4:$C$11)+SUMIF('05.08'!$D$4:$D$11,A126,'05.08'!$E$4:$E$11)+SUMIF('05.08'!$F$4:$F$11,A126,'05.08'!$G$4:$G$11)+SUMIF('05.08'!$H$4:$H$11,A126,'05.08'!$I$4:$I$11)+SUMIF('05.08'!$J$4:$J$11,A126,'05.08'!$K$4:$K$11)+SUMIF('05.08'!$L$4:$L$11,A126,'05.08'!$M$4:$M$11)+SUMIF('05.08'!$N$4:$N$11,A126,'05.08'!$O$4:$O$11)</f>
        <v>0</v>
      </c>
      <c r="M130" s="15">
        <f>SUMIF('06.08'!$B$4:$B$11,A126,'06.08'!$C$4:$C$11)+SUMIF('06.08'!$D$4:$D$11,A126,'06.08'!$E$4:$E$11)+SUMIF('06.08'!$F$4:$F$11,A126,'06.08'!$G$4:$G$11)+SUMIF('06.08'!$H$4:$H$11,A126,'06.08'!$I$4:$I$11)+SUMIF('06.08'!$J$4:$J$11,A126,'06.08'!$K$4:$K$11)+SUMIF('06.08'!$L$4:$L$11,A126,'06.08'!$M$4:$M$11)+SUMIF('06.08'!$N$4:$N$11,A126,'06.08'!$O$4:$O$11)</f>
        <v>0</v>
      </c>
      <c r="N130" s="15">
        <f>SUMIF('07.08'!$B$4:$B$11,A126,'07.08'!$C$4:$C$11)+SUMIF('07.08'!$D$4:$D$11,A126,'07.08'!$E$4:$E$11)+SUMIF('07.08'!$F$4:$F$11,A126,'07.08'!$G$4:$G$11)+SUMIF('07.08'!$H$4:$H$11,A126,'07.08'!$I$4:$I$11)+SUMIF('07.08'!$J$4:$J$11,A126,'07.08'!$K$4:$K$11)+SUMIF('07.08'!$L$4:$L$11,A126,'07.08'!$M$4:$M$11)+SUMIF('07.08'!$N$4:$N$11,A126,'07.08'!$O$4:$O$11)</f>
        <v>0</v>
      </c>
      <c r="O130" s="15">
        <f>SUMIF('08.08'!$B$4:$B$11,A126,'08.08'!$C$4:$C$11)+SUMIF('08.08'!$D$4:$D$11,A126,'08.08'!$E$4:$E$11)+SUMIF('08.08'!$F$4:$F$11,A126,'08.08'!$G$4:$G$11)+SUMIF('08.08'!$H$4:$H$11,A126,'08.08'!$I$4:$I$11)+SUMIF('08.08'!$J$4:$J$11,A126,'08.08'!$K$4:$K$11)+SUMIF('08.08'!$L$4:$L$11,A126,'08.08'!$M$4:$M$11)+SUMIF('08.08'!$N$4:$N$11,A126,'08.08'!$O$4:$O$11)</f>
        <v>0</v>
      </c>
      <c r="P130" s="15">
        <f>SUMIF('09.08'!$B$4:$B$11,A126,'09.08'!$C$4:$C$11)+SUMIF('09.08'!$D$4:$D$11,A126,'09.08'!$E$4:$E$11)+SUMIF('09.08'!$F$4:$F$11,A126,'09.08'!$G$4:$G$11)+SUMIF('09.08'!$H$4:$H$11,A126,'09.08'!$I$4:$I$11)+SUMIF('09.08'!$J$4:$J$11,A126,'09.08'!$K$4:$K$11)+SUMIF('09.08'!$L$4:$L$11,A126,'09.08'!$M$4:$M$11)+SUMIF('09.08'!$N$4:$N$11,A126,'09.08'!$O$4:$O$11)</f>
        <v>0</v>
      </c>
      <c r="Q130" s="15">
        <f>SUMIF('10.08'!$B$4:$B$11,A126,'10.08'!$C$4:$C$11)+SUMIF('10.08'!$D$4:$D$11,A126,'10.08'!$E$4:$E$11)+SUMIF('10.08'!$F$4:$F$11,A126,'10.08'!$G$4:$G$11)+SUMIF('10.08'!$H$4:$H$11,A126,'10.08'!$I$4:$I$11)+SUMIF('10.08'!$J$4:$J$11,A126,'10.08'!$K$4:$K$11)+SUMIF('10.08'!$L$4:$L$11,A126,'10.08'!$M$4:$M$11)+SUMIF('10.08'!$N$4:$N$11,A126,'10.08'!$O$4:$O$11)</f>
        <v>0</v>
      </c>
      <c r="R130" s="16" t="str">
        <f t="shared" si="14"/>
        <v>#N/A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</row>
    <row r="131">
      <c r="A131" s="39" t="str">
        <f>'список продуктов'!A151</f>
        <v/>
      </c>
      <c r="B131" s="39" t="str">
        <f>'список продуктов'!B151</f>
        <v/>
      </c>
      <c r="C131" s="39" t="str">
        <f>'список продуктов'!C151</f>
        <v/>
      </c>
      <c r="D131" s="39" t="str">
        <f>'список продуктов'!D151</f>
        <v/>
      </c>
      <c r="E131" s="39" t="str">
        <f>'список продуктов'!E151</f>
        <v/>
      </c>
      <c r="F131" s="47" t="str">
        <f t="shared" si="15"/>
        <v>#N/A</v>
      </c>
      <c r="G131" s="47" t="str">
        <f t="shared" si="10"/>
        <v>Введите занчения</v>
      </c>
      <c r="H131" s="48" t="str">
        <f t="shared" si="12"/>
        <v>Введите занчения</v>
      </c>
      <c r="I131" s="14">
        <f>SUMIF('02.08'!$B$4:$B$11,A127,'02.08'!$C$4:$C$11)+SUMIF('02.08'!$D$4:$D$11,A127,'02.08'!$E$4:$E$11)+SUMIF('02.08'!$F$4:$F$11,A127,'02.08'!$G$4:$G$11)+SUMIF('02.08'!$H$4:$H$11,A127,'02.08'!$I$4:$I$11)+SUMIF('02.08'!$J$4:$J$11,A127,'02.08'!$K$4:$K$11)+SUMIF('02.08'!$L$4:$L$11,A127,'02.08'!$M$4:$M$11)+SUMIF('02.08'!$N$4:$N$11,A127,'02.08'!$O$4:$O$11)</f>
        <v>0</v>
      </c>
      <c r="J131" s="15">
        <f>SUMIF('03.08'!$B$4:$B$11,A127,'03.08'!$C$4:$C$11)+SUMIF('03.08'!$D$4:$D$11,A127,'03.08'!$E$4:$E$11)+SUMIF('03.08'!$F$4:$F$11,A127,'03.08'!$G$4:$G$11)+SUMIF('03.08'!$H$4:$H$11,A127,'03.08'!$I$4:$I$11)+SUMIF('03.08'!$J$4:$J$11,A127,'03.08'!$K$4:$K$11)+SUMIF('03.08'!$L$4:$L$11,A127,'03.08'!$M$4:$M$11)+SUMIF('03.08'!$N$4:$N$11,A127,'03.08'!$O$4:$O$11)</f>
        <v>0</v>
      </c>
      <c r="K131" s="15">
        <f>SUMIF('04.08'!$B$4:$B$11,A127,'04.08'!$C$4:$C$11)+SUMIF('04.08'!$D$4:$D$11,A127,'04.08'!$E$4:$E$11)+SUMIF('04.08'!$F$4:$F$11,A127,'04.08'!$G$4:$G$11)+SUMIF('04.08'!$H$4:$H$11,A127,'04.08'!$I$4:$I$11)+SUMIF('04.08'!$J$4:$J$11,A127,'04.08'!$K$4:$K$11)+SUMIF('04.08'!$L$4:$L$11,A127,'04.08'!$M$4:$M$11)+SUMIF('04.08'!$N$4:$N$11,A127,'04.08'!$O$4:$O$11)</f>
        <v>0</v>
      </c>
      <c r="L131" s="15">
        <f>SUMIF('05.08'!$B$4:$B$11,A127,'05.08'!$C$4:$C$11)+SUMIF('05.08'!$D$4:$D$11,A127,'05.08'!$E$4:$E$11)+SUMIF('05.08'!$F$4:$F$11,A127,'05.08'!$G$4:$G$11)+SUMIF('05.08'!$H$4:$H$11,A127,'05.08'!$I$4:$I$11)+SUMIF('05.08'!$J$4:$J$11,A127,'05.08'!$K$4:$K$11)+SUMIF('05.08'!$L$4:$L$11,A127,'05.08'!$M$4:$M$11)+SUMIF('05.08'!$N$4:$N$11,A127,'05.08'!$O$4:$O$11)</f>
        <v>0</v>
      </c>
      <c r="M131" s="15">
        <f>SUMIF('06.08'!$B$4:$B$11,A127,'06.08'!$C$4:$C$11)+SUMIF('06.08'!$D$4:$D$11,A127,'06.08'!$E$4:$E$11)+SUMIF('06.08'!$F$4:$F$11,A127,'06.08'!$G$4:$G$11)+SUMIF('06.08'!$H$4:$H$11,A127,'06.08'!$I$4:$I$11)+SUMIF('06.08'!$J$4:$J$11,A127,'06.08'!$K$4:$K$11)+SUMIF('06.08'!$L$4:$L$11,A127,'06.08'!$M$4:$M$11)+SUMIF('06.08'!$N$4:$N$11,A127,'06.08'!$O$4:$O$11)</f>
        <v>0</v>
      </c>
      <c r="N131" s="15">
        <f>SUMIF('07.08'!$B$4:$B$11,A127,'07.08'!$C$4:$C$11)+SUMIF('07.08'!$D$4:$D$11,A127,'07.08'!$E$4:$E$11)+SUMIF('07.08'!$F$4:$F$11,A127,'07.08'!$G$4:$G$11)+SUMIF('07.08'!$H$4:$H$11,A127,'07.08'!$I$4:$I$11)+SUMIF('07.08'!$J$4:$J$11,A127,'07.08'!$K$4:$K$11)+SUMIF('07.08'!$L$4:$L$11,A127,'07.08'!$M$4:$M$11)+SUMIF('07.08'!$N$4:$N$11,A127,'07.08'!$O$4:$O$11)</f>
        <v>0</v>
      </c>
      <c r="O131" s="15">
        <f>SUMIF('08.08'!$B$4:$B$11,A127,'08.08'!$C$4:$C$11)+SUMIF('08.08'!$D$4:$D$11,A127,'08.08'!$E$4:$E$11)+SUMIF('08.08'!$F$4:$F$11,A127,'08.08'!$G$4:$G$11)+SUMIF('08.08'!$H$4:$H$11,A127,'08.08'!$I$4:$I$11)+SUMIF('08.08'!$J$4:$J$11,A127,'08.08'!$K$4:$K$11)+SUMIF('08.08'!$L$4:$L$11,A127,'08.08'!$M$4:$M$11)+SUMIF('08.08'!$N$4:$N$11,A127,'08.08'!$O$4:$O$11)</f>
        <v>0</v>
      </c>
      <c r="P131" s="15">
        <f>SUMIF('09.08'!$B$4:$B$11,A127,'09.08'!$C$4:$C$11)+SUMIF('09.08'!$D$4:$D$11,A127,'09.08'!$E$4:$E$11)+SUMIF('09.08'!$F$4:$F$11,A127,'09.08'!$G$4:$G$11)+SUMIF('09.08'!$H$4:$H$11,A127,'09.08'!$I$4:$I$11)+SUMIF('09.08'!$J$4:$J$11,A127,'09.08'!$K$4:$K$11)+SUMIF('09.08'!$L$4:$L$11,A127,'09.08'!$M$4:$M$11)+SUMIF('09.08'!$N$4:$N$11,A127,'09.08'!$O$4:$O$11)</f>
        <v>0</v>
      </c>
      <c r="Q131" s="15">
        <f>SUMIF('10.08'!$B$4:$B$11,A127,'10.08'!$C$4:$C$11)+SUMIF('10.08'!$D$4:$D$11,A127,'10.08'!$E$4:$E$11)+SUMIF('10.08'!$F$4:$F$11,A127,'10.08'!$G$4:$G$11)+SUMIF('10.08'!$H$4:$H$11,A127,'10.08'!$I$4:$I$11)+SUMIF('10.08'!$J$4:$J$11,A127,'10.08'!$K$4:$K$11)+SUMIF('10.08'!$L$4:$L$11,A127,'10.08'!$M$4:$M$11)+SUMIF('10.08'!$N$4:$N$11,A127,'10.08'!$O$4:$O$11)</f>
        <v>0</v>
      </c>
      <c r="R131" s="16" t="str">
        <f t="shared" si="14"/>
        <v>#N/A</v>
      </c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</row>
    <row r="132">
      <c r="A132" s="39" t="str">
        <f>'список продуктов'!A152</f>
        <v/>
      </c>
      <c r="B132" s="39" t="str">
        <f>'список продуктов'!B152</f>
        <v/>
      </c>
      <c r="C132" s="39" t="str">
        <f>'список продуктов'!C152</f>
        <v/>
      </c>
      <c r="D132" s="39" t="str">
        <f>'список продуктов'!D152</f>
        <v/>
      </c>
      <c r="E132" s="39" t="str">
        <f>'список продуктов'!E152</f>
        <v/>
      </c>
      <c r="F132" s="47" t="str">
        <f t="shared" si="15"/>
        <v>#N/A</v>
      </c>
      <c r="G132" s="47" t="str">
        <f t="shared" si="10"/>
        <v>Введите занчения</v>
      </c>
      <c r="H132" s="48" t="str">
        <f t="shared" si="12"/>
        <v>Введите занчения</v>
      </c>
      <c r="I132" s="14">
        <f>SUMIF('02.08'!$B$4:$B$11,A128,'02.08'!$C$4:$C$11)+SUMIF('02.08'!$D$4:$D$11,A128,'02.08'!$E$4:$E$11)+SUMIF('02.08'!$F$4:$F$11,A128,'02.08'!$G$4:$G$11)+SUMIF('02.08'!$H$4:$H$11,A128,'02.08'!$I$4:$I$11)+SUMIF('02.08'!$J$4:$J$11,A128,'02.08'!$K$4:$K$11)+SUMIF('02.08'!$L$4:$L$11,A128,'02.08'!$M$4:$M$11)+SUMIF('02.08'!$N$4:$N$11,A128,'02.08'!$O$4:$O$11)</f>
        <v>0</v>
      </c>
      <c r="J132" s="15">
        <f>SUMIF('03.08'!$B$4:$B$11,A128,'03.08'!$C$4:$C$11)+SUMIF('03.08'!$D$4:$D$11,A128,'03.08'!$E$4:$E$11)+SUMIF('03.08'!$F$4:$F$11,A128,'03.08'!$G$4:$G$11)+SUMIF('03.08'!$H$4:$H$11,A128,'03.08'!$I$4:$I$11)+SUMIF('03.08'!$J$4:$J$11,A128,'03.08'!$K$4:$K$11)+SUMIF('03.08'!$L$4:$L$11,A128,'03.08'!$M$4:$M$11)+SUMIF('03.08'!$N$4:$N$11,A128,'03.08'!$O$4:$O$11)</f>
        <v>0</v>
      </c>
      <c r="K132" s="15">
        <f>SUMIF('04.08'!$B$4:$B$11,A128,'04.08'!$C$4:$C$11)+SUMIF('04.08'!$D$4:$D$11,A128,'04.08'!$E$4:$E$11)+SUMIF('04.08'!$F$4:$F$11,A128,'04.08'!$G$4:$G$11)+SUMIF('04.08'!$H$4:$H$11,A128,'04.08'!$I$4:$I$11)+SUMIF('04.08'!$J$4:$J$11,A128,'04.08'!$K$4:$K$11)+SUMIF('04.08'!$L$4:$L$11,A128,'04.08'!$M$4:$M$11)+SUMIF('04.08'!$N$4:$N$11,A128,'04.08'!$O$4:$O$11)</f>
        <v>0</v>
      </c>
      <c r="L132" s="15">
        <f>SUMIF('05.08'!$B$4:$B$11,A128,'05.08'!$C$4:$C$11)+SUMIF('05.08'!$D$4:$D$11,A128,'05.08'!$E$4:$E$11)+SUMIF('05.08'!$F$4:$F$11,A128,'05.08'!$G$4:$G$11)+SUMIF('05.08'!$H$4:$H$11,A128,'05.08'!$I$4:$I$11)+SUMIF('05.08'!$J$4:$J$11,A128,'05.08'!$K$4:$K$11)+SUMIF('05.08'!$L$4:$L$11,A128,'05.08'!$M$4:$M$11)+SUMIF('05.08'!$N$4:$N$11,A128,'05.08'!$O$4:$O$11)</f>
        <v>0</v>
      </c>
      <c r="M132" s="15">
        <f>SUMIF('06.08'!$B$4:$B$11,A128,'06.08'!$C$4:$C$11)+SUMIF('06.08'!$D$4:$D$11,A128,'06.08'!$E$4:$E$11)+SUMIF('06.08'!$F$4:$F$11,A128,'06.08'!$G$4:$G$11)+SUMIF('06.08'!$H$4:$H$11,A128,'06.08'!$I$4:$I$11)+SUMIF('06.08'!$J$4:$J$11,A128,'06.08'!$K$4:$K$11)+SUMIF('06.08'!$L$4:$L$11,A128,'06.08'!$M$4:$M$11)+SUMIF('06.08'!$N$4:$N$11,A128,'06.08'!$O$4:$O$11)</f>
        <v>0</v>
      </c>
      <c r="N132" s="15">
        <f>SUMIF('07.08'!$B$4:$B$11,A128,'07.08'!$C$4:$C$11)+SUMIF('07.08'!$D$4:$D$11,A128,'07.08'!$E$4:$E$11)+SUMIF('07.08'!$F$4:$F$11,A128,'07.08'!$G$4:$G$11)+SUMIF('07.08'!$H$4:$H$11,A128,'07.08'!$I$4:$I$11)+SUMIF('07.08'!$J$4:$J$11,A128,'07.08'!$K$4:$K$11)+SUMIF('07.08'!$L$4:$L$11,A128,'07.08'!$M$4:$M$11)+SUMIF('07.08'!$N$4:$N$11,A128,'07.08'!$O$4:$O$11)</f>
        <v>0</v>
      </c>
      <c r="O132" s="15">
        <f>SUMIF('08.08'!$B$4:$B$11,A128,'08.08'!$C$4:$C$11)+SUMIF('08.08'!$D$4:$D$11,A128,'08.08'!$E$4:$E$11)+SUMIF('08.08'!$F$4:$F$11,A128,'08.08'!$G$4:$G$11)+SUMIF('08.08'!$H$4:$H$11,A128,'08.08'!$I$4:$I$11)+SUMIF('08.08'!$J$4:$J$11,A128,'08.08'!$K$4:$K$11)+SUMIF('08.08'!$L$4:$L$11,A128,'08.08'!$M$4:$M$11)+SUMIF('08.08'!$N$4:$N$11,A128,'08.08'!$O$4:$O$11)</f>
        <v>0</v>
      </c>
      <c r="P132" s="15">
        <f>SUMIF('09.08'!$B$4:$B$11,A128,'09.08'!$C$4:$C$11)+SUMIF('09.08'!$D$4:$D$11,A128,'09.08'!$E$4:$E$11)+SUMIF('09.08'!$F$4:$F$11,A128,'09.08'!$G$4:$G$11)+SUMIF('09.08'!$H$4:$H$11,A128,'09.08'!$I$4:$I$11)+SUMIF('09.08'!$J$4:$J$11,A128,'09.08'!$K$4:$K$11)+SUMIF('09.08'!$L$4:$L$11,A128,'09.08'!$M$4:$M$11)+SUMIF('09.08'!$N$4:$N$11,A128,'09.08'!$O$4:$O$11)</f>
        <v>0</v>
      </c>
      <c r="Q132" s="15">
        <f>SUMIF('10.08'!$B$4:$B$11,A128,'10.08'!$C$4:$C$11)+SUMIF('10.08'!$D$4:$D$11,A128,'10.08'!$E$4:$E$11)+SUMIF('10.08'!$F$4:$F$11,A128,'10.08'!$G$4:$G$11)+SUMIF('10.08'!$H$4:$H$11,A128,'10.08'!$I$4:$I$11)+SUMIF('10.08'!$J$4:$J$11,A128,'10.08'!$K$4:$K$11)+SUMIF('10.08'!$L$4:$L$11,A128,'10.08'!$M$4:$M$11)+SUMIF('10.08'!$N$4:$N$11,A128,'10.08'!$O$4:$O$11)</f>
        <v>0</v>
      </c>
      <c r="R132" s="16" t="str">
        <f t="shared" si="14"/>
        <v>#N/A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</row>
    <row r="133">
      <c r="A133" s="39" t="str">
        <f>'список продуктов'!A153</f>
        <v/>
      </c>
      <c r="B133" s="39" t="str">
        <f>'список продуктов'!B153</f>
        <v/>
      </c>
      <c r="C133" s="39" t="str">
        <f>'список продуктов'!C153</f>
        <v/>
      </c>
      <c r="D133" s="39" t="str">
        <f>'список продуктов'!D153</f>
        <v/>
      </c>
      <c r="E133" s="39" t="str">
        <f>'список продуктов'!E153</f>
        <v/>
      </c>
      <c r="F133" s="47" t="str">
        <f t="shared" si="15"/>
        <v>#N/A</v>
      </c>
      <c r="G133" s="47" t="str">
        <f t="shared" si="10"/>
        <v>Введите занчения</v>
      </c>
      <c r="H133" s="48" t="str">
        <f t="shared" si="12"/>
        <v>Введите занчения</v>
      </c>
      <c r="I133" s="14">
        <f>SUMIF('02.08'!$B$4:$B$11,A129,'02.08'!$C$4:$C$11)+SUMIF('02.08'!$D$4:$D$11,A129,'02.08'!$E$4:$E$11)+SUMIF('02.08'!$F$4:$F$11,A129,'02.08'!$G$4:$G$11)+SUMIF('02.08'!$H$4:$H$11,A129,'02.08'!$I$4:$I$11)+SUMIF('02.08'!$J$4:$J$11,A129,'02.08'!$K$4:$K$11)+SUMIF('02.08'!$L$4:$L$11,A129,'02.08'!$M$4:$M$11)+SUMIF('02.08'!$N$4:$N$11,A129,'02.08'!$O$4:$O$11)</f>
        <v>0</v>
      </c>
      <c r="J133" s="15">
        <f>SUMIF('03.08'!$B$4:$B$11,A129,'03.08'!$C$4:$C$11)+SUMIF('03.08'!$D$4:$D$11,A129,'03.08'!$E$4:$E$11)+SUMIF('03.08'!$F$4:$F$11,A129,'03.08'!$G$4:$G$11)+SUMIF('03.08'!$H$4:$H$11,A129,'03.08'!$I$4:$I$11)+SUMIF('03.08'!$J$4:$J$11,A129,'03.08'!$K$4:$K$11)+SUMIF('03.08'!$L$4:$L$11,A129,'03.08'!$M$4:$M$11)+SUMIF('03.08'!$N$4:$N$11,A129,'03.08'!$O$4:$O$11)</f>
        <v>0</v>
      </c>
      <c r="K133" s="15">
        <f>SUMIF('04.08'!$B$4:$B$11,A129,'04.08'!$C$4:$C$11)+SUMIF('04.08'!$D$4:$D$11,A129,'04.08'!$E$4:$E$11)+SUMIF('04.08'!$F$4:$F$11,A129,'04.08'!$G$4:$G$11)+SUMIF('04.08'!$H$4:$H$11,A129,'04.08'!$I$4:$I$11)+SUMIF('04.08'!$J$4:$J$11,A129,'04.08'!$K$4:$K$11)+SUMIF('04.08'!$L$4:$L$11,A129,'04.08'!$M$4:$M$11)+SUMIF('04.08'!$N$4:$N$11,A129,'04.08'!$O$4:$O$11)</f>
        <v>0</v>
      </c>
      <c r="L133" s="15">
        <f>SUMIF('05.08'!$B$4:$B$11,A129,'05.08'!$C$4:$C$11)+SUMIF('05.08'!$D$4:$D$11,A129,'05.08'!$E$4:$E$11)+SUMIF('05.08'!$F$4:$F$11,A129,'05.08'!$G$4:$G$11)+SUMIF('05.08'!$H$4:$H$11,A129,'05.08'!$I$4:$I$11)+SUMIF('05.08'!$J$4:$J$11,A129,'05.08'!$K$4:$K$11)+SUMIF('05.08'!$L$4:$L$11,A129,'05.08'!$M$4:$M$11)+SUMIF('05.08'!$N$4:$N$11,A129,'05.08'!$O$4:$O$11)</f>
        <v>0</v>
      </c>
      <c r="M133" s="15">
        <f>SUMIF('06.08'!$B$4:$B$11,A129,'06.08'!$C$4:$C$11)+SUMIF('06.08'!$D$4:$D$11,A129,'06.08'!$E$4:$E$11)+SUMIF('06.08'!$F$4:$F$11,A129,'06.08'!$G$4:$G$11)+SUMIF('06.08'!$H$4:$H$11,A129,'06.08'!$I$4:$I$11)+SUMIF('06.08'!$J$4:$J$11,A129,'06.08'!$K$4:$K$11)+SUMIF('06.08'!$L$4:$L$11,A129,'06.08'!$M$4:$M$11)+SUMIF('06.08'!$N$4:$N$11,A129,'06.08'!$O$4:$O$11)</f>
        <v>0</v>
      </c>
      <c r="N133" s="15">
        <f>SUMIF('07.08'!$B$4:$B$11,A129,'07.08'!$C$4:$C$11)+SUMIF('07.08'!$D$4:$D$11,A129,'07.08'!$E$4:$E$11)+SUMIF('07.08'!$F$4:$F$11,A129,'07.08'!$G$4:$G$11)+SUMIF('07.08'!$H$4:$H$11,A129,'07.08'!$I$4:$I$11)+SUMIF('07.08'!$J$4:$J$11,A129,'07.08'!$K$4:$K$11)+SUMIF('07.08'!$L$4:$L$11,A129,'07.08'!$M$4:$M$11)+SUMIF('07.08'!$N$4:$N$11,A129,'07.08'!$O$4:$O$11)</f>
        <v>0</v>
      </c>
      <c r="O133" s="15">
        <f>SUMIF('08.08'!$B$4:$B$11,A129,'08.08'!$C$4:$C$11)+SUMIF('08.08'!$D$4:$D$11,A129,'08.08'!$E$4:$E$11)+SUMIF('08.08'!$F$4:$F$11,A129,'08.08'!$G$4:$G$11)+SUMIF('08.08'!$H$4:$H$11,A129,'08.08'!$I$4:$I$11)+SUMIF('08.08'!$J$4:$J$11,A129,'08.08'!$K$4:$K$11)+SUMIF('08.08'!$L$4:$L$11,A129,'08.08'!$M$4:$M$11)+SUMIF('08.08'!$N$4:$N$11,A129,'08.08'!$O$4:$O$11)</f>
        <v>0</v>
      </c>
      <c r="P133" s="15">
        <f>SUMIF('09.08'!$B$4:$B$11,A129,'09.08'!$C$4:$C$11)+SUMIF('09.08'!$D$4:$D$11,A129,'09.08'!$E$4:$E$11)+SUMIF('09.08'!$F$4:$F$11,A129,'09.08'!$G$4:$G$11)+SUMIF('09.08'!$H$4:$H$11,A129,'09.08'!$I$4:$I$11)+SUMIF('09.08'!$J$4:$J$11,A129,'09.08'!$K$4:$K$11)+SUMIF('09.08'!$L$4:$L$11,A129,'09.08'!$M$4:$M$11)+SUMIF('09.08'!$N$4:$N$11,A129,'09.08'!$O$4:$O$11)</f>
        <v>0</v>
      </c>
      <c r="Q133" s="15">
        <f>SUMIF('10.08'!$B$4:$B$11,A129,'10.08'!$C$4:$C$11)+SUMIF('10.08'!$D$4:$D$11,A129,'10.08'!$E$4:$E$11)+SUMIF('10.08'!$F$4:$F$11,A129,'10.08'!$G$4:$G$11)+SUMIF('10.08'!$H$4:$H$11,A129,'10.08'!$I$4:$I$11)+SUMIF('10.08'!$J$4:$J$11,A129,'10.08'!$K$4:$K$11)+SUMIF('10.08'!$L$4:$L$11,A129,'10.08'!$M$4:$M$11)+SUMIF('10.08'!$N$4:$N$11,A129,'10.08'!$O$4:$O$11)</f>
        <v>0</v>
      </c>
      <c r="R133" s="16" t="str">
        <f t="shared" si="14"/>
        <v>#N/A</v>
      </c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</row>
    <row r="134">
      <c r="A134" s="39" t="str">
        <f>'список продуктов'!A154</f>
        <v/>
      </c>
      <c r="B134" s="39" t="str">
        <f>'список продуктов'!B154</f>
        <v/>
      </c>
      <c r="C134" s="39" t="str">
        <f>'список продуктов'!C154</f>
        <v/>
      </c>
      <c r="D134" s="39" t="str">
        <f>'список продуктов'!D154</f>
        <v/>
      </c>
      <c r="E134" s="39" t="str">
        <f>'список продуктов'!E154</f>
        <v/>
      </c>
      <c r="F134" s="47" t="str">
        <f t="shared" si="15"/>
        <v>#N/A</v>
      </c>
      <c r="G134" s="47" t="str">
        <f t="shared" si="10"/>
        <v>Введите занчения</v>
      </c>
      <c r="H134" s="48" t="str">
        <f t="shared" si="12"/>
        <v>Введите занчения</v>
      </c>
      <c r="I134" s="14">
        <f>SUMIF('02.08'!$B$4:$B$11,A130,'02.08'!$C$4:$C$11)+SUMIF('02.08'!$D$4:$D$11,A130,'02.08'!$E$4:$E$11)+SUMIF('02.08'!$F$4:$F$11,A130,'02.08'!$G$4:$G$11)+SUMIF('02.08'!$H$4:$H$11,A130,'02.08'!$I$4:$I$11)+SUMIF('02.08'!$J$4:$J$11,A130,'02.08'!$K$4:$K$11)+SUMIF('02.08'!$L$4:$L$11,A130,'02.08'!$M$4:$M$11)+SUMIF('02.08'!$N$4:$N$11,A130,'02.08'!$O$4:$O$11)</f>
        <v>0</v>
      </c>
      <c r="J134" s="15">
        <f>SUMIF('03.08'!$B$4:$B$11,A130,'03.08'!$C$4:$C$11)+SUMIF('03.08'!$D$4:$D$11,A130,'03.08'!$E$4:$E$11)+SUMIF('03.08'!$F$4:$F$11,A130,'03.08'!$G$4:$G$11)+SUMIF('03.08'!$H$4:$H$11,A130,'03.08'!$I$4:$I$11)+SUMIF('03.08'!$J$4:$J$11,A130,'03.08'!$K$4:$K$11)+SUMIF('03.08'!$L$4:$L$11,A130,'03.08'!$M$4:$M$11)+SUMIF('03.08'!$N$4:$N$11,A130,'03.08'!$O$4:$O$11)</f>
        <v>0</v>
      </c>
      <c r="K134" s="15">
        <f>SUMIF('04.08'!$B$4:$B$11,A130,'04.08'!$C$4:$C$11)+SUMIF('04.08'!$D$4:$D$11,A130,'04.08'!$E$4:$E$11)+SUMIF('04.08'!$F$4:$F$11,A130,'04.08'!$G$4:$G$11)+SUMIF('04.08'!$H$4:$H$11,A130,'04.08'!$I$4:$I$11)+SUMIF('04.08'!$J$4:$J$11,A130,'04.08'!$K$4:$K$11)+SUMIF('04.08'!$L$4:$L$11,A130,'04.08'!$M$4:$M$11)+SUMIF('04.08'!$N$4:$N$11,A130,'04.08'!$O$4:$O$11)</f>
        <v>0</v>
      </c>
      <c r="L134" s="15">
        <f>SUMIF('05.08'!$B$4:$B$11,A130,'05.08'!$C$4:$C$11)+SUMIF('05.08'!$D$4:$D$11,A130,'05.08'!$E$4:$E$11)+SUMIF('05.08'!$F$4:$F$11,A130,'05.08'!$G$4:$G$11)+SUMIF('05.08'!$H$4:$H$11,A130,'05.08'!$I$4:$I$11)+SUMIF('05.08'!$J$4:$J$11,A130,'05.08'!$K$4:$K$11)+SUMIF('05.08'!$L$4:$L$11,A130,'05.08'!$M$4:$M$11)+SUMIF('05.08'!$N$4:$N$11,A130,'05.08'!$O$4:$O$11)</f>
        <v>0</v>
      </c>
      <c r="M134" s="15">
        <f>SUMIF('06.08'!$B$4:$B$11,A130,'06.08'!$C$4:$C$11)+SUMIF('06.08'!$D$4:$D$11,A130,'06.08'!$E$4:$E$11)+SUMIF('06.08'!$F$4:$F$11,A130,'06.08'!$G$4:$G$11)+SUMIF('06.08'!$H$4:$H$11,A130,'06.08'!$I$4:$I$11)+SUMIF('06.08'!$J$4:$J$11,A130,'06.08'!$K$4:$K$11)+SUMIF('06.08'!$L$4:$L$11,A130,'06.08'!$M$4:$M$11)+SUMIF('06.08'!$N$4:$N$11,A130,'06.08'!$O$4:$O$11)</f>
        <v>0</v>
      </c>
      <c r="N134" s="15">
        <f>SUMIF('07.08'!$B$4:$B$11,A130,'07.08'!$C$4:$C$11)+SUMIF('07.08'!$D$4:$D$11,A130,'07.08'!$E$4:$E$11)+SUMIF('07.08'!$F$4:$F$11,A130,'07.08'!$G$4:$G$11)+SUMIF('07.08'!$H$4:$H$11,A130,'07.08'!$I$4:$I$11)+SUMIF('07.08'!$J$4:$J$11,A130,'07.08'!$K$4:$K$11)+SUMIF('07.08'!$L$4:$L$11,A130,'07.08'!$M$4:$M$11)+SUMIF('07.08'!$N$4:$N$11,A130,'07.08'!$O$4:$O$11)</f>
        <v>0</v>
      </c>
      <c r="O134" s="15">
        <f>SUMIF('08.08'!$B$4:$B$11,A130,'08.08'!$C$4:$C$11)+SUMIF('08.08'!$D$4:$D$11,A130,'08.08'!$E$4:$E$11)+SUMIF('08.08'!$F$4:$F$11,A130,'08.08'!$G$4:$G$11)+SUMIF('08.08'!$H$4:$H$11,A130,'08.08'!$I$4:$I$11)+SUMIF('08.08'!$J$4:$J$11,A130,'08.08'!$K$4:$K$11)+SUMIF('08.08'!$L$4:$L$11,A130,'08.08'!$M$4:$M$11)+SUMIF('08.08'!$N$4:$N$11,A130,'08.08'!$O$4:$O$11)</f>
        <v>0</v>
      </c>
      <c r="P134" s="15">
        <f>SUMIF('09.08'!$B$4:$B$11,A130,'09.08'!$C$4:$C$11)+SUMIF('09.08'!$D$4:$D$11,A130,'09.08'!$E$4:$E$11)+SUMIF('09.08'!$F$4:$F$11,A130,'09.08'!$G$4:$G$11)+SUMIF('09.08'!$H$4:$H$11,A130,'09.08'!$I$4:$I$11)+SUMIF('09.08'!$J$4:$J$11,A130,'09.08'!$K$4:$K$11)+SUMIF('09.08'!$L$4:$L$11,A130,'09.08'!$M$4:$M$11)+SUMIF('09.08'!$N$4:$N$11,A130,'09.08'!$O$4:$O$11)</f>
        <v>0</v>
      </c>
      <c r="Q134" s="15">
        <f>SUMIF('10.08'!$B$4:$B$11,A130,'10.08'!$C$4:$C$11)+SUMIF('10.08'!$D$4:$D$11,A130,'10.08'!$E$4:$E$11)+SUMIF('10.08'!$F$4:$F$11,A130,'10.08'!$G$4:$G$11)+SUMIF('10.08'!$H$4:$H$11,A130,'10.08'!$I$4:$I$11)+SUMIF('10.08'!$J$4:$J$11,A130,'10.08'!$K$4:$K$11)+SUMIF('10.08'!$L$4:$L$11,A130,'10.08'!$M$4:$M$11)+SUMIF('10.08'!$N$4:$N$11,A130,'10.08'!$O$4:$O$11)</f>
        <v>0</v>
      </c>
      <c r="R134" s="16" t="str">
        <f t="shared" si="14"/>
        <v>#N/A</v>
      </c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</row>
    <row r="135">
      <c r="A135" s="39" t="str">
        <f>'список продуктов'!A155</f>
        <v/>
      </c>
      <c r="B135" s="39" t="str">
        <f>'список продуктов'!B155</f>
        <v/>
      </c>
      <c r="C135" s="39" t="str">
        <f>'список продуктов'!C155</f>
        <v/>
      </c>
      <c r="D135" s="39" t="str">
        <f>'список продуктов'!D155</f>
        <v/>
      </c>
      <c r="E135" s="39" t="str">
        <f>'список продуктов'!E155</f>
        <v/>
      </c>
      <c r="F135" s="47" t="str">
        <f t="shared" si="15"/>
        <v>#N/A</v>
      </c>
      <c r="G135" s="47" t="str">
        <f t="shared" si="10"/>
        <v>Введите занчения</v>
      </c>
      <c r="H135" s="48" t="str">
        <f t="shared" si="12"/>
        <v>Введите занчения</v>
      </c>
      <c r="I135" s="14">
        <f>SUMIF('02.08'!$B$4:$B$11,A131,'02.08'!$C$4:$C$11)+SUMIF('02.08'!$D$4:$D$11,A131,'02.08'!$E$4:$E$11)+SUMIF('02.08'!$F$4:$F$11,A131,'02.08'!$G$4:$G$11)+SUMIF('02.08'!$H$4:$H$11,A131,'02.08'!$I$4:$I$11)+SUMIF('02.08'!$J$4:$J$11,A131,'02.08'!$K$4:$K$11)+SUMIF('02.08'!$L$4:$L$11,A131,'02.08'!$M$4:$M$11)+SUMIF('02.08'!$N$4:$N$11,A131,'02.08'!$O$4:$O$11)</f>
        <v>0</v>
      </c>
      <c r="J135" s="15">
        <f>SUMIF('03.08'!$B$4:$B$11,A131,'03.08'!$C$4:$C$11)+SUMIF('03.08'!$D$4:$D$11,A131,'03.08'!$E$4:$E$11)+SUMIF('03.08'!$F$4:$F$11,A131,'03.08'!$G$4:$G$11)+SUMIF('03.08'!$H$4:$H$11,A131,'03.08'!$I$4:$I$11)+SUMIF('03.08'!$J$4:$J$11,A131,'03.08'!$K$4:$K$11)+SUMIF('03.08'!$L$4:$L$11,A131,'03.08'!$M$4:$M$11)+SUMIF('03.08'!$N$4:$N$11,A131,'03.08'!$O$4:$O$11)</f>
        <v>0</v>
      </c>
      <c r="K135" s="15">
        <f>SUMIF('04.08'!$B$4:$B$11,A131,'04.08'!$C$4:$C$11)+SUMIF('04.08'!$D$4:$D$11,A131,'04.08'!$E$4:$E$11)+SUMIF('04.08'!$F$4:$F$11,A131,'04.08'!$G$4:$G$11)+SUMIF('04.08'!$H$4:$H$11,A131,'04.08'!$I$4:$I$11)+SUMIF('04.08'!$J$4:$J$11,A131,'04.08'!$K$4:$K$11)+SUMIF('04.08'!$L$4:$L$11,A131,'04.08'!$M$4:$M$11)+SUMIF('04.08'!$N$4:$N$11,A131,'04.08'!$O$4:$O$11)</f>
        <v>0</v>
      </c>
      <c r="L135" s="15">
        <f>SUMIF('05.08'!$B$4:$B$11,A131,'05.08'!$C$4:$C$11)+SUMIF('05.08'!$D$4:$D$11,A131,'05.08'!$E$4:$E$11)+SUMIF('05.08'!$F$4:$F$11,A131,'05.08'!$G$4:$G$11)+SUMIF('05.08'!$H$4:$H$11,A131,'05.08'!$I$4:$I$11)+SUMIF('05.08'!$J$4:$J$11,A131,'05.08'!$K$4:$K$11)+SUMIF('05.08'!$L$4:$L$11,A131,'05.08'!$M$4:$M$11)+SUMIF('05.08'!$N$4:$N$11,A131,'05.08'!$O$4:$O$11)</f>
        <v>0</v>
      </c>
      <c r="M135" s="15">
        <f>SUMIF('06.08'!$B$4:$B$11,A131,'06.08'!$C$4:$C$11)+SUMIF('06.08'!$D$4:$D$11,A131,'06.08'!$E$4:$E$11)+SUMIF('06.08'!$F$4:$F$11,A131,'06.08'!$G$4:$G$11)+SUMIF('06.08'!$H$4:$H$11,A131,'06.08'!$I$4:$I$11)+SUMIF('06.08'!$J$4:$J$11,A131,'06.08'!$K$4:$K$11)+SUMIF('06.08'!$L$4:$L$11,A131,'06.08'!$M$4:$M$11)+SUMIF('06.08'!$N$4:$N$11,A131,'06.08'!$O$4:$O$11)</f>
        <v>0</v>
      </c>
      <c r="N135" s="15">
        <f>SUMIF('07.08'!$B$4:$B$11,A131,'07.08'!$C$4:$C$11)+SUMIF('07.08'!$D$4:$D$11,A131,'07.08'!$E$4:$E$11)+SUMIF('07.08'!$F$4:$F$11,A131,'07.08'!$G$4:$G$11)+SUMIF('07.08'!$H$4:$H$11,A131,'07.08'!$I$4:$I$11)+SUMIF('07.08'!$J$4:$J$11,A131,'07.08'!$K$4:$K$11)+SUMIF('07.08'!$L$4:$L$11,A131,'07.08'!$M$4:$M$11)+SUMIF('07.08'!$N$4:$N$11,A131,'07.08'!$O$4:$O$11)</f>
        <v>0</v>
      </c>
      <c r="O135" s="15">
        <f>SUMIF('08.08'!$B$4:$B$11,A131,'08.08'!$C$4:$C$11)+SUMIF('08.08'!$D$4:$D$11,A131,'08.08'!$E$4:$E$11)+SUMIF('08.08'!$F$4:$F$11,A131,'08.08'!$G$4:$G$11)+SUMIF('08.08'!$H$4:$H$11,A131,'08.08'!$I$4:$I$11)+SUMIF('08.08'!$J$4:$J$11,A131,'08.08'!$K$4:$K$11)+SUMIF('08.08'!$L$4:$L$11,A131,'08.08'!$M$4:$M$11)+SUMIF('08.08'!$N$4:$N$11,A131,'08.08'!$O$4:$O$11)</f>
        <v>0</v>
      </c>
      <c r="P135" s="15">
        <f>SUMIF('09.08'!$B$4:$B$11,A131,'09.08'!$C$4:$C$11)+SUMIF('09.08'!$D$4:$D$11,A131,'09.08'!$E$4:$E$11)+SUMIF('09.08'!$F$4:$F$11,A131,'09.08'!$G$4:$G$11)+SUMIF('09.08'!$H$4:$H$11,A131,'09.08'!$I$4:$I$11)+SUMIF('09.08'!$J$4:$J$11,A131,'09.08'!$K$4:$K$11)+SUMIF('09.08'!$L$4:$L$11,A131,'09.08'!$M$4:$M$11)+SUMIF('09.08'!$N$4:$N$11,A131,'09.08'!$O$4:$O$11)</f>
        <v>0</v>
      </c>
      <c r="Q135" s="15">
        <f>SUMIF('10.08'!$B$4:$B$11,A131,'10.08'!$C$4:$C$11)+SUMIF('10.08'!$D$4:$D$11,A131,'10.08'!$E$4:$E$11)+SUMIF('10.08'!$F$4:$F$11,A131,'10.08'!$G$4:$G$11)+SUMIF('10.08'!$H$4:$H$11,A131,'10.08'!$I$4:$I$11)+SUMIF('10.08'!$J$4:$J$11,A131,'10.08'!$K$4:$K$11)+SUMIF('10.08'!$L$4:$L$11,A131,'10.08'!$M$4:$M$11)+SUMIF('10.08'!$N$4:$N$11,A131,'10.08'!$O$4:$O$11)</f>
        <v>0</v>
      </c>
      <c r="R135" s="16" t="str">
        <f t="shared" si="14"/>
        <v>#N/A</v>
      </c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</row>
    <row r="136">
      <c r="A136" s="39" t="str">
        <f>'список продуктов'!A156</f>
        <v/>
      </c>
      <c r="B136" s="39" t="str">
        <f>'список продуктов'!B156</f>
        <v/>
      </c>
      <c r="C136" s="39" t="str">
        <f>'список продуктов'!C156</f>
        <v/>
      </c>
      <c r="D136" s="39" t="str">
        <f>'список продуктов'!D156</f>
        <v/>
      </c>
      <c r="E136" s="39" t="str">
        <f>'список продуктов'!E156</f>
        <v/>
      </c>
      <c r="F136" s="47" t="str">
        <f t="shared" si="15"/>
        <v>#N/A</v>
      </c>
      <c r="G136" s="47" t="str">
        <f t="shared" si="10"/>
        <v>Введите занчения</v>
      </c>
      <c r="H136" s="48" t="str">
        <f t="shared" si="12"/>
        <v>Введите занчения</v>
      </c>
      <c r="I136" s="14">
        <f>SUMIF('02.08'!$B$4:$B$11,A132,'02.08'!$C$4:$C$11)+SUMIF('02.08'!$D$4:$D$11,A132,'02.08'!$E$4:$E$11)+SUMIF('02.08'!$F$4:$F$11,A132,'02.08'!$G$4:$G$11)+SUMIF('02.08'!$H$4:$H$11,A132,'02.08'!$I$4:$I$11)+SUMIF('02.08'!$J$4:$J$11,A132,'02.08'!$K$4:$K$11)+SUMIF('02.08'!$L$4:$L$11,A132,'02.08'!$M$4:$M$11)+SUMIF('02.08'!$N$4:$N$11,A132,'02.08'!$O$4:$O$11)</f>
        <v>0</v>
      </c>
      <c r="J136" s="15">
        <f>SUMIF('03.08'!$B$4:$B$11,A132,'03.08'!$C$4:$C$11)+SUMIF('03.08'!$D$4:$D$11,A132,'03.08'!$E$4:$E$11)+SUMIF('03.08'!$F$4:$F$11,A132,'03.08'!$G$4:$G$11)+SUMIF('03.08'!$H$4:$H$11,A132,'03.08'!$I$4:$I$11)+SUMIF('03.08'!$J$4:$J$11,A132,'03.08'!$K$4:$K$11)+SUMIF('03.08'!$L$4:$L$11,A132,'03.08'!$M$4:$M$11)+SUMIF('03.08'!$N$4:$N$11,A132,'03.08'!$O$4:$O$11)</f>
        <v>0</v>
      </c>
      <c r="K136" s="15">
        <f>SUMIF('04.08'!$B$4:$B$11,A132,'04.08'!$C$4:$C$11)+SUMIF('04.08'!$D$4:$D$11,A132,'04.08'!$E$4:$E$11)+SUMIF('04.08'!$F$4:$F$11,A132,'04.08'!$G$4:$G$11)+SUMIF('04.08'!$H$4:$H$11,A132,'04.08'!$I$4:$I$11)+SUMIF('04.08'!$J$4:$J$11,A132,'04.08'!$K$4:$K$11)+SUMIF('04.08'!$L$4:$L$11,A132,'04.08'!$M$4:$M$11)+SUMIF('04.08'!$N$4:$N$11,A132,'04.08'!$O$4:$O$11)</f>
        <v>0</v>
      </c>
      <c r="L136" s="15">
        <f>SUMIF('05.08'!$B$4:$B$11,A132,'05.08'!$C$4:$C$11)+SUMIF('05.08'!$D$4:$D$11,A132,'05.08'!$E$4:$E$11)+SUMIF('05.08'!$F$4:$F$11,A132,'05.08'!$G$4:$G$11)+SUMIF('05.08'!$H$4:$H$11,A132,'05.08'!$I$4:$I$11)+SUMIF('05.08'!$J$4:$J$11,A132,'05.08'!$K$4:$K$11)+SUMIF('05.08'!$L$4:$L$11,A132,'05.08'!$M$4:$M$11)+SUMIF('05.08'!$N$4:$N$11,A132,'05.08'!$O$4:$O$11)</f>
        <v>0</v>
      </c>
      <c r="M136" s="15">
        <f>SUMIF('06.08'!$B$4:$B$11,A132,'06.08'!$C$4:$C$11)+SUMIF('06.08'!$D$4:$D$11,A132,'06.08'!$E$4:$E$11)+SUMIF('06.08'!$F$4:$F$11,A132,'06.08'!$G$4:$G$11)+SUMIF('06.08'!$H$4:$H$11,A132,'06.08'!$I$4:$I$11)+SUMIF('06.08'!$J$4:$J$11,A132,'06.08'!$K$4:$K$11)+SUMIF('06.08'!$L$4:$L$11,A132,'06.08'!$M$4:$M$11)+SUMIF('06.08'!$N$4:$N$11,A132,'06.08'!$O$4:$O$11)</f>
        <v>0</v>
      </c>
      <c r="N136" s="15">
        <f>SUMIF('07.08'!$B$4:$B$11,A132,'07.08'!$C$4:$C$11)+SUMIF('07.08'!$D$4:$D$11,A132,'07.08'!$E$4:$E$11)+SUMIF('07.08'!$F$4:$F$11,A132,'07.08'!$G$4:$G$11)+SUMIF('07.08'!$H$4:$H$11,A132,'07.08'!$I$4:$I$11)+SUMIF('07.08'!$J$4:$J$11,A132,'07.08'!$K$4:$K$11)+SUMIF('07.08'!$L$4:$L$11,A132,'07.08'!$M$4:$M$11)+SUMIF('07.08'!$N$4:$N$11,A132,'07.08'!$O$4:$O$11)</f>
        <v>0</v>
      </c>
      <c r="O136" s="15">
        <f>SUMIF('08.08'!$B$4:$B$11,A132,'08.08'!$C$4:$C$11)+SUMIF('08.08'!$D$4:$D$11,A132,'08.08'!$E$4:$E$11)+SUMIF('08.08'!$F$4:$F$11,A132,'08.08'!$G$4:$G$11)+SUMIF('08.08'!$H$4:$H$11,A132,'08.08'!$I$4:$I$11)+SUMIF('08.08'!$J$4:$J$11,A132,'08.08'!$K$4:$K$11)+SUMIF('08.08'!$L$4:$L$11,A132,'08.08'!$M$4:$M$11)+SUMIF('08.08'!$N$4:$N$11,A132,'08.08'!$O$4:$O$11)</f>
        <v>0</v>
      </c>
      <c r="P136" s="15">
        <f>SUMIF('09.08'!$B$4:$B$11,A132,'09.08'!$C$4:$C$11)+SUMIF('09.08'!$D$4:$D$11,A132,'09.08'!$E$4:$E$11)+SUMIF('09.08'!$F$4:$F$11,A132,'09.08'!$G$4:$G$11)+SUMIF('09.08'!$H$4:$H$11,A132,'09.08'!$I$4:$I$11)+SUMIF('09.08'!$J$4:$J$11,A132,'09.08'!$K$4:$K$11)+SUMIF('09.08'!$L$4:$L$11,A132,'09.08'!$M$4:$M$11)+SUMIF('09.08'!$N$4:$N$11,A132,'09.08'!$O$4:$O$11)</f>
        <v>0</v>
      </c>
      <c r="Q136" s="15">
        <f>SUMIF('10.08'!$B$4:$B$11,A132,'10.08'!$C$4:$C$11)+SUMIF('10.08'!$D$4:$D$11,A132,'10.08'!$E$4:$E$11)+SUMIF('10.08'!$F$4:$F$11,A132,'10.08'!$G$4:$G$11)+SUMIF('10.08'!$H$4:$H$11,A132,'10.08'!$I$4:$I$11)+SUMIF('10.08'!$J$4:$J$11,A132,'10.08'!$K$4:$K$11)+SUMIF('10.08'!$L$4:$L$11,A132,'10.08'!$M$4:$M$11)+SUMIF('10.08'!$N$4:$N$11,A132,'10.08'!$O$4:$O$11)</f>
        <v>0</v>
      </c>
      <c r="R136" s="16" t="str">
        <f t="shared" si="14"/>
        <v>#N/A</v>
      </c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>
      <c r="A137" s="39" t="str">
        <f>'список продуктов'!A157</f>
        <v/>
      </c>
      <c r="B137" s="39" t="str">
        <f>'список продуктов'!B157</f>
        <v/>
      </c>
      <c r="C137" s="39" t="str">
        <f>'список продуктов'!C157</f>
        <v/>
      </c>
      <c r="D137" s="39" t="str">
        <f>'список продуктов'!D157</f>
        <v/>
      </c>
      <c r="E137" s="39" t="str">
        <f>'список продуктов'!E157</f>
        <v/>
      </c>
      <c r="F137" s="47" t="str">
        <f t="shared" si="15"/>
        <v>#N/A</v>
      </c>
      <c r="G137" s="47" t="str">
        <f t="shared" si="10"/>
        <v>Введите занчения</v>
      </c>
      <c r="H137" s="48" t="str">
        <f t="shared" si="12"/>
        <v>Введите занчения</v>
      </c>
      <c r="I137" s="14">
        <f>SUMIF('02.08'!$B$4:$B$11,A133,'02.08'!$C$4:$C$11)+SUMIF('02.08'!$D$4:$D$11,A133,'02.08'!$E$4:$E$11)+SUMIF('02.08'!$F$4:$F$11,A133,'02.08'!$G$4:$G$11)+SUMIF('02.08'!$H$4:$H$11,A133,'02.08'!$I$4:$I$11)+SUMIF('02.08'!$J$4:$J$11,A133,'02.08'!$K$4:$K$11)+SUMIF('02.08'!$L$4:$L$11,A133,'02.08'!$M$4:$M$11)+SUMIF('02.08'!$N$4:$N$11,A133,'02.08'!$O$4:$O$11)</f>
        <v>0</v>
      </c>
      <c r="J137" s="15">
        <f>SUMIF('03.08'!$B$4:$B$11,A133,'03.08'!$C$4:$C$11)+SUMIF('03.08'!$D$4:$D$11,A133,'03.08'!$E$4:$E$11)+SUMIF('03.08'!$F$4:$F$11,A133,'03.08'!$G$4:$G$11)+SUMIF('03.08'!$H$4:$H$11,A133,'03.08'!$I$4:$I$11)+SUMIF('03.08'!$J$4:$J$11,A133,'03.08'!$K$4:$K$11)+SUMIF('03.08'!$L$4:$L$11,A133,'03.08'!$M$4:$M$11)+SUMIF('03.08'!$N$4:$N$11,A133,'03.08'!$O$4:$O$11)</f>
        <v>0</v>
      </c>
      <c r="K137" s="15">
        <f>SUMIF('04.08'!$B$4:$B$11,A133,'04.08'!$C$4:$C$11)+SUMIF('04.08'!$D$4:$D$11,A133,'04.08'!$E$4:$E$11)+SUMIF('04.08'!$F$4:$F$11,A133,'04.08'!$G$4:$G$11)+SUMIF('04.08'!$H$4:$H$11,A133,'04.08'!$I$4:$I$11)+SUMIF('04.08'!$J$4:$J$11,A133,'04.08'!$K$4:$K$11)+SUMIF('04.08'!$L$4:$L$11,A133,'04.08'!$M$4:$M$11)+SUMIF('04.08'!$N$4:$N$11,A133,'04.08'!$O$4:$O$11)</f>
        <v>0</v>
      </c>
      <c r="L137" s="15">
        <f>SUMIF('05.08'!$B$4:$B$11,A133,'05.08'!$C$4:$C$11)+SUMIF('05.08'!$D$4:$D$11,A133,'05.08'!$E$4:$E$11)+SUMIF('05.08'!$F$4:$F$11,A133,'05.08'!$G$4:$G$11)+SUMIF('05.08'!$H$4:$H$11,A133,'05.08'!$I$4:$I$11)+SUMIF('05.08'!$J$4:$J$11,A133,'05.08'!$K$4:$K$11)+SUMIF('05.08'!$L$4:$L$11,A133,'05.08'!$M$4:$M$11)+SUMIF('05.08'!$N$4:$N$11,A133,'05.08'!$O$4:$O$11)</f>
        <v>0</v>
      </c>
      <c r="M137" s="15">
        <f>SUMIF('06.08'!$B$4:$B$11,A133,'06.08'!$C$4:$C$11)+SUMIF('06.08'!$D$4:$D$11,A133,'06.08'!$E$4:$E$11)+SUMIF('06.08'!$F$4:$F$11,A133,'06.08'!$G$4:$G$11)+SUMIF('06.08'!$H$4:$H$11,A133,'06.08'!$I$4:$I$11)+SUMIF('06.08'!$J$4:$J$11,A133,'06.08'!$K$4:$K$11)+SUMIF('06.08'!$L$4:$L$11,A133,'06.08'!$M$4:$M$11)+SUMIF('06.08'!$N$4:$N$11,A133,'06.08'!$O$4:$O$11)</f>
        <v>0</v>
      </c>
      <c r="N137" s="15">
        <f>SUMIF('07.08'!$B$4:$B$11,A133,'07.08'!$C$4:$C$11)+SUMIF('07.08'!$D$4:$D$11,A133,'07.08'!$E$4:$E$11)+SUMIF('07.08'!$F$4:$F$11,A133,'07.08'!$G$4:$G$11)+SUMIF('07.08'!$H$4:$H$11,A133,'07.08'!$I$4:$I$11)+SUMIF('07.08'!$J$4:$J$11,A133,'07.08'!$K$4:$K$11)+SUMIF('07.08'!$L$4:$L$11,A133,'07.08'!$M$4:$M$11)+SUMIF('07.08'!$N$4:$N$11,A133,'07.08'!$O$4:$O$11)</f>
        <v>0</v>
      </c>
      <c r="O137" s="15">
        <f>SUMIF('08.08'!$B$4:$B$11,A133,'08.08'!$C$4:$C$11)+SUMIF('08.08'!$D$4:$D$11,A133,'08.08'!$E$4:$E$11)+SUMIF('08.08'!$F$4:$F$11,A133,'08.08'!$G$4:$G$11)+SUMIF('08.08'!$H$4:$H$11,A133,'08.08'!$I$4:$I$11)+SUMIF('08.08'!$J$4:$J$11,A133,'08.08'!$K$4:$K$11)+SUMIF('08.08'!$L$4:$L$11,A133,'08.08'!$M$4:$M$11)+SUMIF('08.08'!$N$4:$N$11,A133,'08.08'!$O$4:$O$11)</f>
        <v>0</v>
      </c>
      <c r="P137" s="15">
        <f>SUMIF('09.08'!$B$4:$B$11,A133,'09.08'!$C$4:$C$11)+SUMIF('09.08'!$D$4:$D$11,A133,'09.08'!$E$4:$E$11)+SUMIF('09.08'!$F$4:$F$11,A133,'09.08'!$G$4:$G$11)+SUMIF('09.08'!$H$4:$H$11,A133,'09.08'!$I$4:$I$11)+SUMIF('09.08'!$J$4:$J$11,A133,'09.08'!$K$4:$K$11)+SUMIF('09.08'!$L$4:$L$11,A133,'09.08'!$M$4:$M$11)+SUMIF('09.08'!$N$4:$N$11,A133,'09.08'!$O$4:$O$11)</f>
        <v>0</v>
      </c>
      <c r="Q137" s="15">
        <f>SUMIF('10.08'!$B$4:$B$11,A133,'10.08'!$C$4:$C$11)+SUMIF('10.08'!$D$4:$D$11,A133,'10.08'!$E$4:$E$11)+SUMIF('10.08'!$F$4:$F$11,A133,'10.08'!$G$4:$G$11)+SUMIF('10.08'!$H$4:$H$11,A133,'10.08'!$I$4:$I$11)+SUMIF('10.08'!$J$4:$J$11,A133,'10.08'!$K$4:$K$11)+SUMIF('10.08'!$L$4:$L$11,A133,'10.08'!$M$4:$M$11)+SUMIF('10.08'!$N$4:$N$11,A133,'10.08'!$O$4:$O$11)</f>
        <v>0</v>
      </c>
      <c r="R137" s="16" t="str">
        <f t="shared" si="14"/>
        <v>#N/A</v>
      </c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</row>
    <row r="138">
      <c r="A138" s="39" t="str">
        <f>'список продуктов'!A158</f>
        <v/>
      </c>
      <c r="B138" s="39" t="str">
        <f>'список продуктов'!B158</f>
        <v/>
      </c>
      <c r="C138" s="39" t="str">
        <f>'список продуктов'!C158</f>
        <v/>
      </c>
      <c r="D138" s="39" t="str">
        <f>'список продуктов'!D158</f>
        <v/>
      </c>
      <c r="E138" s="39" t="str">
        <f>'список продуктов'!E158</f>
        <v/>
      </c>
      <c r="F138" s="47" t="str">
        <f t="shared" si="15"/>
        <v>#N/A</v>
      </c>
      <c r="G138" s="47" t="str">
        <f t="shared" si="10"/>
        <v>Введите занчения</v>
      </c>
      <c r="H138" s="48" t="str">
        <f t="shared" si="12"/>
        <v>Введите занчения</v>
      </c>
      <c r="I138" s="14">
        <f>SUMIF('02.08'!$B$4:$B$11,A134,'02.08'!$C$4:$C$11)+SUMIF('02.08'!$D$4:$D$11,A134,'02.08'!$E$4:$E$11)+SUMIF('02.08'!$F$4:$F$11,A134,'02.08'!$G$4:$G$11)+SUMIF('02.08'!$H$4:$H$11,A134,'02.08'!$I$4:$I$11)+SUMIF('02.08'!$J$4:$J$11,A134,'02.08'!$K$4:$K$11)+SUMIF('02.08'!$L$4:$L$11,A134,'02.08'!$M$4:$M$11)+SUMIF('02.08'!$N$4:$N$11,A134,'02.08'!$O$4:$O$11)</f>
        <v>0</v>
      </c>
      <c r="J138" s="15">
        <f>SUMIF('03.08'!$B$4:$B$11,A134,'03.08'!$C$4:$C$11)+SUMIF('03.08'!$D$4:$D$11,A134,'03.08'!$E$4:$E$11)+SUMIF('03.08'!$F$4:$F$11,A134,'03.08'!$G$4:$G$11)+SUMIF('03.08'!$H$4:$H$11,A134,'03.08'!$I$4:$I$11)+SUMIF('03.08'!$J$4:$J$11,A134,'03.08'!$K$4:$K$11)+SUMIF('03.08'!$L$4:$L$11,A134,'03.08'!$M$4:$M$11)+SUMIF('03.08'!$N$4:$N$11,A134,'03.08'!$O$4:$O$11)</f>
        <v>0</v>
      </c>
      <c r="K138" s="15">
        <f>SUMIF('04.08'!$B$4:$B$11,A134,'04.08'!$C$4:$C$11)+SUMIF('04.08'!$D$4:$D$11,A134,'04.08'!$E$4:$E$11)+SUMIF('04.08'!$F$4:$F$11,A134,'04.08'!$G$4:$G$11)+SUMIF('04.08'!$H$4:$H$11,A134,'04.08'!$I$4:$I$11)+SUMIF('04.08'!$J$4:$J$11,A134,'04.08'!$K$4:$K$11)+SUMIF('04.08'!$L$4:$L$11,A134,'04.08'!$M$4:$M$11)+SUMIF('04.08'!$N$4:$N$11,A134,'04.08'!$O$4:$O$11)</f>
        <v>0</v>
      </c>
      <c r="L138" s="15">
        <f>SUMIF('05.08'!$B$4:$B$11,A134,'05.08'!$C$4:$C$11)+SUMIF('05.08'!$D$4:$D$11,A134,'05.08'!$E$4:$E$11)+SUMIF('05.08'!$F$4:$F$11,A134,'05.08'!$G$4:$G$11)+SUMIF('05.08'!$H$4:$H$11,A134,'05.08'!$I$4:$I$11)+SUMIF('05.08'!$J$4:$J$11,A134,'05.08'!$K$4:$K$11)+SUMIF('05.08'!$L$4:$L$11,A134,'05.08'!$M$4:$M$11)+SUMIF('05.08'!$N$4:$N$11,A134,'05.08'!$O$4:$O$11)</f>
        <v>0</v>
      </c>
      <c r="M138" s="15">
        <f>SUMIF('06.08'!$B$4:$B$11,A134,'06.08'!$C$4:$C$11)+SUMIF('06.08'!$D$4:$D$11,A134,'06.08'!$E$4:$E$11)+SUMIF('06.08'!$F$4:$F$11,A134,'06.08'!$G$4:$G$11)+SUMIF('06.08'!$H$4:$H$11,A134,'06.08'!$I$4:$I$11)+SUMIF('06.08'!$J$4:$J$11,A134,'06.08'!$K$4:$K$11)+SUMIF('06.08'!$L$4:$L$11,A134,'06.08'!$M$4:$M$11)+SUMIF('06.08'!$N$4:$N$11,A134,'06.08'!$O$4:$O$11)</f>
        <v>0</v>
      </c>
      <c r="N138" s="15">
        <f>SUMIF('07.08'!$B$4:$B$11,A134,'07.08'!$C$4:$C$11)+SUMIF('07.08'!$D$4:$D$11,A134,'07.08'!$E$4:$E$11)+SUMIF('07.08'!$F$4:$F$11,A134,'07.08'!$G$4:$G$11)+SUMIF('07.08'!$H$4:$H$11,A134,'07.08'!$I$4:$I$11)+SUMIF('07.08'!$J$4:$J$11,A134,'07.08'!$K$4:$K$11)+SUMIF('07.08'!$L$4:$L$11,A134,'07.08'!$M$4:$M$11)+SUMIF('07.08'!$N$4:$N$11,A134,'07.08'!$O$4:$O$11)</f>
        <v>0</v>
      </c>
      <c r="O138" s="15">
        <f>SUMIF('08.08'!$B$4:$B$11,A134,'08.08'!$C$4:$C$11)+SUMIF('08.08'!$D$4:$D$11,A134,'08.08'!$E$4:$E$11)+SUMIF('08.08'!$F$4:$F$11,A134,'08.08'!$G$4:$G$11)+SUMIF('08.08'!$H$4:$H$11,A134,'08.08'!$I$4:$I$11)+SUMIF('08.08'!$J$4:$J$11,A134,'08.08'!$K$4:$K$11)+SUMIF('08.08'!$L$4:$L$11,A134,'08.08'!$M$4:$M$11)+SUMIF('08.08'!$N$4:$N$11,A134,'08.08'!$O$4:$O$11)</f>
        <v>0</v>
      </c>
      <c r="P138" s="15">
        <f>SUMIF('09.08'!$B$4:$B$11,A134,'09.08'!$C$4:$C$11)+SUMIF('09.08'!$D$4:$D$11,A134,'09.08'!$E$4:$E$11)+SUMIF('09.08'!$F$4:$F$11,A134,'09.08'!$G$4:$G$11)+SUMIF('09.08'!$H$4:$H$11,A134,'09.08'!$I$4:$I$11)+SUMIF('09.08'!$J$4:$J$11,A134,'09.08'!$K$4:$K$11)+SUMIF('09.08'!$L$4:$L$11,A134,'09.08'!$M$4:$M$11)+SUMIF('09.08'!$N$4:$N$11,A134,'09.08'!$O$4:$O$11)</f>
        <v>0</v>
      </c>
      <c r="Q138" s="15">
        <f>SUMIF('10.08'!$B$4:$B$11,A134,'10.08'!$C$4:$C$11)+SUMIF('10.08'!$D$4:$D$11,A134,'10.08'!$E$4:$E$11)+SUMIF('10.08'!$F$4:$F$11,A134,'10.08'!$G$4:$G$11)+SUMIF('10.08'!$H$4:$H$11,A134,'10.08'!$I$4:$I$11)+SUMIF('10.08'!$J$4:$J$11,A134,'10.08'!$K$4:$K$11)+SUMIF('10.08'!$L$4:$L$11,A134,'10.08'!$M$4:$M$11)+SUMIF('10.08'!$N$4:$N$11,A134,'10.08'!$O$4:$O$11)</f>
        <v>0</v>
      </c>
      <c r="R138" s="16" t="str">
        <f t="shared" si="14"/>
        <v>#N/A</v>
      </c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>
      <c r="A139" s="39" t="str">
        <f>'список продуктов'!A159</f>
        <v/>
      </c>
      <c r="B139" s="39" t="str">
        <f>'список продуктов'!B159</f>
        <v/>
      </c>
      <c r="C139" s="39" t="str">
        <f>'список продуктов'!C159</f>
        <v/>
      </c>
      <c r="D139" s="39" t="str">
        <f>'список продуктов'!D159</f>
        <v/>
      </c>
      <c r="E139" s="39" t="str">
        <f>'список продуктов'!E159</f>
        <v/>
      </c>
      <c r="F139" s="47" t="str">
        <f t="shared" si="15"/>
        <v>#N/A</v>
      </c>
      <c r="G139" s="47" t="str">
        <f t="shared" si="10"/>
        <v>Введите занчения</v>
      </c>
      <c r="H139" s="48" t="str">
        <f t="shared" si="12"/>
        <v>Введите занчения</v>
      </c>
      <c r="I139" s="14">
        <f>SUMIF('02.08'!$B$4:$B$11,A135,'02.08'!$C$4:$C$11)+SUMIF('02.08'!$D$4:$D$11,A135,'02.08'!$E$4:$E$11)+SUMIF('02.08'!$F$4:$F$11,A135,'02.08'!$G$4:$G$11)+SUMIF('02.08'!$H$4:$H$11,A135,'02.08'!$I$4:$I$11)+SUMIF('02.08'!$J$4:$J$11,A135,'02.08'!$K$4:$K$11)+SUMIF('02.08'!$L$4:$L$11,A135,'02.08'!$M$4:$M$11)+SUMIF('02.08'!$N$4:$N$11,A135,'02.08'!$O$4:$O$11)</f>
        <v>0</v>
      </c>
      <c r="J139" s="15">
        <f>SUMIF('03.08'!$B$4:$B$11,A135,'03.08'!$C$4:$C$11)+SUMIF('03.08'!$D$4:$D$11,A135,'03.08'!$E$4:$E$11)+SUMIF('03.08'!$F$4:$F$11,A135,'03.08'!$G$4:$G$11)+SUMIF('03.08'!$H$4:$H$11,A135,'03.08'!$I$4:$I$11)+SUMIF('03.08'!$J$4:$J$11,A135,'03.08'!$K$4:$K$11)+SUMIF('03.08'!$L$4:$L$11,A135,'03.08'!$M$4:$M$11)+SUMIF('03.08'!$N$4:$N$11,A135,'03.08'!$O$4:$O$11)</f>
        <v>0</v>
      </c>
      <c r="K139" s="15">
        <f>SUMIF('04.08'!$B$4:$B$11,A135,'04.08'!$C$4:$C$11)+SUMIF('04.08'!$D$4:$D$11,A135,'04.08'!$E$4:$E$11)+SUMIF('04.08'!$F$4:$F$11,A135,'04.08'!$G$4:$G$11)+SUMIF('04.08'!$H$4:$H$11,A135,'04.08'!$I$4:$I$11)+SUMIF('04.08'!$J$4:$J$11,A135,'04.08'!$K$4:$K$11)+SUMIF('04.08'!$L$4:$L$11,A135,'04.08'!$M$4:$M$11)+SUMIF('04.08'!$N$4:$N$11,A135,'04.08'!$O$4:$O$11)</f>
        <v>0</v>
      </c>
      <c r="L139" s="15">
        <f>SUMIF('05.08'!$B$4:$B$11,A135,'05.08'!$C$4:$C$11)+SUMIF('05.08'!$D$4:$D$11,A135,'05.08'!$E$4:$E$11)+SUMIF('05.08'!$F$4:$F$11,A135,'05.08'!$G$4:$G$11)+SUMIF('05.08'!$H$4:$H$11,A135,'05.08'!$I$4:$I$11)+SUMIF('05.08'!$J$4:$J$11,A135,'05.08'!$K$4:$K$11)+SUMIF('05.08'!$L$4:$L$11,A135,'05.08'!$M$4:$M$11)+SUMIF('05.08'!$N$4:$N$11,A135,'05.08'!$O$4:$O$11)</f>
        <v>0</v>
      </c>
      <c r="M139" s="15">
        <f>SUMIF('06.08'!$B$4:$B$11,A135,'06.08'!$C$4:$C$11)+SUMIF('06.08'!$D$4:$D$11,A135,'06.08'!$E$4:$E$11)+SUMIF('06.08'!$F$4:$F$11,A135,'06.08'!$G$4:$G$11)+SUMIF('06.08'!$H$4:$H$11,A135,'06.08'!$I$4:$I$11)+SUMIF('06.08'!$J$4:$J$11,A135,'06.08'!$K$4:$K$11)+SUMIF('06.08'!$L$4:$L$11,A135,'06.08'!$M$4:$M$11)+SUMIF('06.08'!$N$4:$N$11,A135,'06.08'!$O$4:$O$11)</f>
        <v>0</v>
      </c>
      <c r="N139" s="15">
        <f>SUMIF('07.08'!$B$4:$B$11,A135,'07.08'!$C$4:$C$11)+SUMIF('07.08'!$D$4:$D$11,A135,'07.08'!$E$4:$E$11)+SUMIF('07.08'!$F$4:$F$11,A135,'07.08'!$G$4:$G$11)+SUMIF('07.08'!$H$4:$H$11,A135,'07.08'!$I$4:$I$11)+SUMIF('07.08'!$J$4:$J$11,A135,'07.08'!$K$4:$K$11)+SUMIF('07.08'!$L$4:$L$11,A135,'07.08'!$M$4:$M$11)+SUMIF('07.08'!$N$4:$N$11,A135,'07.08'!$O$4:$O$11)</f>
        <v>0</v>
      </c>
      <c r="O139" s="15">
        <f>SUMIF('08.08'!$B$4:$B$11,A135,'08.08'!$C$4:$C$11)+SUMIF('08.08'!$D$4:$D$11,A135,'08.08'!$E$4:$E$11)+SUMIF('08.08'!$F$4:$F$11,A135,'08.08'!$G$4:$G$11)+SUMIF('08.08'!$H$4:$H$11,A135,'08.08'!$I$4:$I$11)+SUMIF('08.08'!$J$4:$J$11,A135,'08.08'!$K$4:$K$11)+SUMIF('08.08'!$L$4:$L$11,A135,'08.08'!$M$4:$M$11)+SUMIF('08.08'!$N$4:$N$11,A135,'08.08'!$O$4:$O$11)</f>
        <v>0</v>
      </c>
      <c r="P139" s="15">
        <f>SUMIF('09.08'!$B$4:$B$11,A135,'09.08'!$C$4:$C$11)+SUMIF('09.08'!$D$4:$D$11,A135,'09.08'!$E$4:$E$11)+SUMIF('09.08'!$F$4:$F$11,A135,'09.08'!$G$4:$G$11)+SUMIF('09.08'!$H$4:$H$11,A135,'09.08'!$I$4:$I$11)+SUMIF('09.08'!$J$4:$J$11,A135,'09.08'!$K$4:$K$11)+SUMIF('09.08'!$L$4:$L$11,A135,'09.08'!$M$4:$M$11)+SUMIF('09.08'!$N$4:$N$11,A135,'09.08'!$O$4:$O$11)</f>
        <v>0</v>
      </c>
      <c r="Q139" s="15">
        <f>SUMIF('10.08'!$B$4:$B$11,A135,'10.08'!$C$4:$C$11)+SUMIF('10.08'!$D$4:$D$11,A135,'10.08'!$E$4:$E$11)+SUMIF('10.08'!$F$4:$F$11,A135,'10.08'!$G$4:$G$11)+SUMIF('10.08'!$H$4:$H$11,A135,'10.08'!$I$4:$I$11)+SUMIF('10.08'!$J$4:$J$11,A135,'10.08'!$K$4:$K$11)+SUMIF('10.08'!$L$4:$L$11,A135,'10.08'!$M$4:$M$11)+SUMIF('10.08'!$N$4:$N$11,A135,'10.08'!$O$4:$O$11)</f>
        <v>0</v>
      </c>
      <c r="R139" s="16" t="str">
        <f t="shared" si="14"/>
        <v>#N/A</v>
      </c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</row>
    <row r="140">
      <c r="A140" s="39" t="str">
        <f>'список продуктов'!A160</f>
        <v/>
      </c>
      <c r="B140" s="39" t="str">
        <f>'список продуктов'!B160</f>
        <v/>
      </c>
      <c r="C140" s="39" t="str">
        <f>'список продуктов'!C160</f>
        <v/>
      </c>
      <c r="D140" s="39" t="str">
        <f>'список продуктов'!D160</f>
        <v/>
      </c>
      <c r="E140" s="39" t="str">
        <f>'список продуктов'!E160</f>
        <v/>
      </c>
      <c r="F140" s="47" t="str">
        <f t="shared" si="15"/>
        <v>#N/A</v>
      </c>
      <c r="G140" s="47" t="str">
        <f t="shared" si="10"/>
        <v>Введите занчения</v>
      </c>
      <c r="H140" s="48" t="str">
        <f t="shared" si="12"/>
        <v>Введите занчения</v>
      </c>
      <c r="I140" s="14">
        <f>SUMIF('02.08'!$B$4:$B$11,A136,'02.08'!$C$4:$C$11)+SUMIF('02.08'!$D$4:$D$11,A136,'02.08'!$E$4:$E$11)+SUMIF('02.08'!$F$4:$F$11,A136,'02.08'!$G$4:$G$11)+SUMIF('02.08'!$H$4:$H$11,A136,'02.08'!$I$4:$I$11)+SUMIF('02.08'!$J$4:$J$11,A136,'02.08'!$K$4:$K$11)+SUMIF('02.08'!$L$4:$L$11,A136,'02.08'!$M$4:$M$11)+SUMIF('02.08'!$N$4:$N$11,A136,'02.08'!$O$4:$O$11)</f>
        <v>0</v>
      </c>
      <c r="J140" s="15">
        <f>SUMIF('03.08'!$B$4:$B$11,A136,'03.08'!$C$4:$C$11)+SUMIF('03.08'!$D$4:$D$11,A136,'03.08'!$E$4:$E$11)+SUMIF('03.08'!$F$4:$F$11,A136,'03.08'!$G$4:$G$11)+SUMIF('03.08'!$H$4:$H$11,A136,'03.08'!$I$4:$I$11)+SUMIF('03.08'!$J$4:$J$11,A136,'03.08'!$K$4:$K$11)+SUMIF('03.08'!$L$4:$L$11,A136,'03.08'!$M$4:$M$11)+SUMIF('03.08'!$N$4:$N$11,A136,'03.08'!$O$4:$O$11)</f>
        <v>0</v>
      </c>
      <c r="K140" s="15">
        <f>SUMIF('04.08'!$B$4:$B$11,A136,'04.08'!$C$4:$C$11)+SUMIF('04.08'!$D$4:$D$11,A136,'04.08'!$E$4:$E$11)+SUMIF('04.08'!$F$4:$F$11,A136,'04.08'!$G$4:$G$11)+SUMIF('04.08'!$H$4:$H$11,A136,'04.08'!$I$4:$I$11)+SUMIF('04.08'!$J$4:$J$11,A136,'04.08'!$K$4:$K$11)+SUMIF('04.08'!$L$4:$L$11,A136,'04.08'!$M$4:$M$11)+SUMIF('04.08'!$N$4:$N$11,A136,'04.08'!$O$4:$O$11)</f>
        <v>0</v>
      </c>
      <c r="L140" s="15">
        <f>SUMIF('05.08'!$B$4:$B$11,A136,'05.08'!$C$4:$C$11)+SUMIF('05.08'!$D$4:$D$11,A136,'05.08'!$E$4:$E$11)+SUMIF('05.08'!$F$4:$F$11,A136,'05.08'!$G$4:$G$11)+SUMIF('05.08'!$H$4:$H$11,A136,'05.08'!$I$4:$I$11)+SUMIF('05.08'!$J$4:$J$11,A136,'05.08'!$K$4:$K$11)+SUMIF('05.08'!$L$4:$L$11,A136,'05.08'!$M$4:$M$11)+SUMIF('05.08'!$N$4:$N$11,A136,'05.08'!$O$4:$O$11)</f>
        <v>0</v>
      </c>
      <c r="M140" s="15">
        <f>SUMIF('06.08'!$B$4:$B$11,A136,'06.08'!$C$4:$C$11)+SUMIF('06.08'!$D$4:$D$11,A136,'06.08'!$E$4:$E$11)+SUMIF('06.08'!$F$4:$F$11,A136,'06.08'!$G$4:$G$11)+SUMIF('06.08'!$H$4:$H$11,A136,'06.08'!$I$4:$I$11)+SUMIF('06.08'!$J$4:$J$11,A136,'06.08'!$K$4:$K$11)+SUMIF('06.08'!$L$4:$L$11,A136,'06.08'!$M$4:$M$11)+SUMIF('06.08'!$N$4:$N$11,A136,'06.08'!$O$4:$O$11)</f>
        <v>0</v>
      </c>
      <c r="N140" s="15">
        <f>SUMIF('07.08'!$B$4:$B$11,A136,'07.08'!$C$4:$C$11)+SUMIF('07.08'!$D$4:$D$11,A136,'07.08'!$E$4:$E$11)+SUMIF('07.08'!$F$4:$F$11,A136,'07.08'!$G$4:$G$11)+SUMIF('07.08'!$H$4:$H$11,A136,'07.08'!$I$4:$I$11)+SUMIF('07.08'!$J$4:$J$11,A136,'07.08'!$K$4:$K$11)+SUMIF('07.08'!$L$4:$L$11,A136,'07.08'!$M$4:$M$11)+SUMIF('07.08'!$N$4:$N$11,A136,'07.08'!$O$4:$O$11)</f>
        <v>0</v>
      </c>
      <c r="O140" s="15">
        <f>SUMIF('08.08'!$B$4:$B$11,A136,'08.08'!$C$4:$C$11)+SUMIF('08.08'!$D$4:$D$11,A136,'08.08'!$E$4:$E$11)+SUMIF('08.08'!$F$4:$F$11,A136,'08.08'!$G$4:$G$11)+SUMIF('08.08'!$H$4:$H$11,A136,'08.08'!$I$4:$I$11)+SUMIF('08.08'!$J$4:$J$11,A136,'08.08'!$K$4:$K$11)+SUMIF('08.08'!$L$4:$L$11,A136,'08.08'!$M$4:$M$11)+SUMIF('08.08'!$N$4:$N$11,A136,'08.08'!$O$4:$O$11)</f>
        <v>0</v>
      </c>
      <c r="P140" s="15">
        <f>SUMIF('09.08'!$B$4:$B$11,A136,'09.08'!$C$4:$C$11)+SUMIF('09.08'!$D$4:$D$11,A136,'09.08'!$E$4:$E$11)+SUMIF('09.08'!$F$4:$F$11,A136,'09.08'!$G$4:$G$11)+SUMIF('09.08'!$H$4:$H$11,A136,'09.08'!$I$4:$I$11)+SUMIF('09.08'!$J$4:$J$11,A136,'09.08'!$K$4:$K$11)+SUMIF('09.08'!$L$4:$L$11,A136,'09.08'!$M$4:$M$11)+SUMIF('09.08'!$N$4:$N$11,A136,'09.08'!$O$4:$O$11)</f>
        <v>0</v>
      </c>
      <c r="Q140" s="15">
        <f>SUMIF('10.08'!$B$4:$B$11,A136,'10.08'!$C$4:$C$11)+SUMIF('10.08'!$D$4:$D$11,A136,'10.08'!$E$4:$E$11)+SUMIF('10.08'!$F$4:$F$11,A136,'10.08'!$G$4:$G$11)+SUMIF('10.08'!$H$4:$H$11,A136,'10.08'!$I$4:$I$11)+SUMIF('10.08'!$J$4:$J$11,A136,'10.08'!$K$4:$K$11)+SUMIF('10.08'!$L$4:$L$11,A136,'10.08'!$M$4:$M$11)+SUMIF('10.08'!$N$4:$N$11,A136,'10.08'!$O$4:$O$11)</f>
        <v>0</v>
      </c>
      <c r="R140" s="16" t="str">
        <f t="shared" si="14"/>
        <v>#N/A</v>
      </c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</row>
    <row r="141">
      <c r="A141" s="39" t="str">
        <f>'список продуктов'!A161</f>
        <v/>
      </c>
      <c r="B141" s="39" t="str">
        <f>'список продуктов'!B161</f>
        <v/>
      </c>
      <c r="C141" s="39" t="str">
        <f>'список продуктов'!C161</f>
        <v/>
      </c>
      <c r="D141" s="39" t="str">
        <f>'список продуктов'!D161</f>
        <v/>
      </c>
      <c r="E141" s="39" t="str">
        <f>'список продуктов'!E161</f>
        <v/>
      </c>
      <c r="F141" s="47" t="str">
        <f t="shared" si="15"/>
        <v>#N/A</v>
      </c>
      <c r="G141" s="47" t="str">
        <f t="shared" si="10"/>
        <v>Введите занчения</v>
      </c>
      <c r="H141" s="48" t="str">
        <f t="shared" si="12"/>
        <v>Введите занчения</v>
      </c>
      <c r="I141" s="14">
        <f>SUMIF('02.08'!$B$4:$B$11,A137,'02.08'!$C$4:$C$11)+SUMIF('02.08'!$D$4:$D$11,A137,'02.08'!$E$4:$E$11)+SUMIF('02.08'!$F$4:$F$11,A137,'02.08'!$G$4:$G$11)+SUMIF('02.08'!$H$4:$H$11,A137,'02.08'!$I$4:$I$11)+SUMIF('02.08'!$J$4:$J$11,A137,'02.08'!$K$4:$K$11)+SUMIF('02.08'!$L$4:$L$11,A137,'02.08'!$M$4:$M$11)+SUMIF('02.08'!$N$4:$N$11,A137,'02.08'!$O$4:$O$11)</f>
        <v>0</v>
      </c>
      <c r="J141" s="15">
        <f>SUMIF('03.08'!$B$4:$B$11,A137,'03.08'!$C$4:$C$11)+SUMIF('03.08'!$D$4:$D$11,A137,'03.08'!$E$4:$E$11)+SUMIF('03.08'!$F$4:$F$11,A137,'03.08'!$G$4:$G$11)+SUMIF('03.08'!$H$4:$H$11,A137,'03.08'!$I$4:$I$11)+SUMIF('03.08'!$J$4:$J$11,A137,'03.08'!$K$4:$K$11)+SUMIF('03.08'!$L$4:$L$11,A137,'03.08'!$M$4:$M$11)+SUMIF('03.08'!$N$4:$N$11,A137,'03.08'!$O$4:$O$11)</f>
        <v>0</v>
      </c>
      <c r="K141" s="15">
        <f>SUMIF('04.08'!$B$4:$B$11,A137,'04.08'!$C$4:$C$11)+SUMIF('04.08'!$D$4:$D$11,A137,'04.08'!$E$4:$E$11)+SUMIF('04.08'!$F$4:$F$11,A137,'04.08'!$G$4:$G$11)+SUMIF('04.08'!$H$4:$H$11,A137,'04.08'!$I$4:$I$11)+SUMIF('04.08'!$J$4:$J$11,A137,'04.08'!$K$4:$K$11)+SUMIF('04.08'!$L$4:$L$11,A137,'04.08'!$M$4:$M$11)+SUMIF('04.08'!$N$4:$N$11,A137,'04.08'!$O$4:$O$11)</f>
        <v>0</v>
      </c>
      <c r="L141" s="15">
        <f>SUMIF('05.08'!$B$4:$B$11,A137,'05.08'!$C$4:$C$11)+SUMIF('05.08'!$D$4:$D$11,A137,'05.08'!$E$4:$E$11)+SUMIF('05.08'!$F$4:$F$11,A137,'05.08'!$G$4:$G$11)+SUMIF('05.08'!$H$4:$H$11,A137,'05.08'!$I$4:$I$11)+SUMIF('05.08'!$J$4:$J$11,A137,'05.08'!$K$4:$K$11)+SUMIF('05.08'!$L$4:$L$11,A137,'05.08'!$M$4:$M$11)+SUMIF('05.08'!$N$4:$N$11,A137,'05.08'!$O$4:$O$11)</f>
        <v>0</v>
      </c>
      <c r="M141" s="15">
        <f>SUMIF('06.08'!$B$4:$B$11,A137,'06.08'!$C$4:$C$11)+SUMIF('06.08'!$D$4:$D$11,A137,'06.08'!$E$4:$E$11)+SUMIF('06.08'!$F$4:$F$11,A137,'06.08'!$G$4:$G$11)+SUMIF('06.08'!$H$4:$H$11,A137,'06.08'!$I$4:$I$11)+SUMIF('06.08'!$J$4:$J$11,A137,'06.08'!$K$4:$K$11)+SUMIF('06.08'!$L$4:$L$11,A137,'06.08'!$M$4:$M$11)+SUMIF('06.08'!$N$4:$N$11,A137,'06.08'!$O$4:$O$11)</f>
        <v>0</v>
      </c>
      <c r="N141" s="15">
        <f>SUMIF('07.08'!$B$4:$B$11,A137,'07.08'!$C$4:$C$11)+SUMIF('07.08'!$D$4:$D$11,A137,'07.08'!$E$4:$E$11)+SUMIF('07.08'!$F$4:$F$11,A137,'07.08'!$G$4:$G$11)+SUMIF('07.08'!$H$4:$H$11,A137,'07.08'!$I$4:$I$11)+SUMIF('07.08'!$J$4:$J$11,A137,'07.08'!$K$4:$K$11)+SUMIF('07.08'!$L$4:$L$11,A137,'07.08'!$M$4:$M$11)+SUMIF('07.08'!$N$4:$N$11,A137,'07.08'!$O$4:$O$11)</f>
        <v>0</v>
      </c>
      <c r="O141" s="15">
        <f>SUMIF('08.08'!$B$4:$B$11,A137,'08.08'!$C$4:$C$11)+SUMIF('08.08'!$D$4:$D$11,A137,'08.08'!$E$4:$E$11)+SUMIF('08.08'!$F$4:$F$11,A137,'08.08'!$G$4:$G$11)+SUMIF('08.08'!$H$4:$H$11,A137,'08.08'!$I$4:$I$11)+SUMIF('08.08'!$J$4:$J$11,A137,'08.08'!$K$4:$K$11)+SUMIF('08.08'!$L$4:$L$11,A137,'08.08'!$M$4:$M$11)+SUMIF('08.08'!$N$4:$N$11,A137,'08.08'!$O$4:$O$11)</f>
        <v>0</v>
      </c>
      <c r="P141" s="15">
        <f>SUMIF('09.08'!$B$4:$B$11,A137,'09.08'!$C$4:$C$11)+SUMIF('09.08'!$D$4:$D$11,A137,'09.08'!$E$4:$E$11)+SUMIF('09.08'!$F$4:$F$11,A137,'09.08'!$G$4:$G$11)+SUMIF('09.08'!$H$4:$H$11,A137,'09.08'!$I$4:$I$11)+SUMIF('09.08'!$J$4:$J$11,A137,'09.08'!$K$4:$K$11)+SUMIF('09.08'!$L$4:$L$11,A137,'09.08'!$M$4:$M$11)+SUMIF('09.08'!$N$4:$N$11,A137,'09.08'!$O$4:$O$11)</f>
        <v>0</v>
      </c>
      <c r="Q141" s="15">
        <f>SUMIF('10.08'!$B$4:$B$11,A137,'10.08'!$C$4:$C$11)+SUMIF('10.08'!$D$4:$D$11,A137,'10.08'!$E$4:$E$11)+SUMIF('10.08'!$F$4:$F$11,A137,'10.08'!$G$4:$G$11)+SUMIF('10.08'!$H$4:$H$11,A137,'10.08'!$I$4:$I$11)+SUMIF('10.08'!$J$4:$J$11,A137,'10.08'!$K$4:$K$11)+SUMIF('10.08'!$L$4:$L$11,A137,'10.08'!$M$4:$M$11)+SUMIF('10.08'!$N$4:$N$11,A137,'10.08'!$O$4:$O$11)</f>
        <v>0</v>
      </c>
      <c r="R141" s="16" t="str">
        <f t="shared" si="14"/>
        <v>#N/A</v>
      </c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</row>
    <row r="142">
      <c r="A142" s="39" t="str">
        <f>'список продуктов'!A162</f>
        <v/>
      </c>
      <c r="B142" s="39" t="str">
        <f>'список продуктов'!B162</f>
        <v/>
      </c>
      <c r="C142" s="39" t="str">
        <f>'список продуктов'!C162</f>
        <v/>
      </c>
      <c r="D142" s="39" t="str">
        <f>'список продуктов'!D162</f>
        <v/>
      </c>
      <c r="E142" s="39" t="str">
        <f>'список продуктов'!E162</f>
        <v/>
      </c>
      <c r="F142" s="47" t="str">
        <f t="shared" si="15"/>
        <v>#N/A</v>
      </c>
      <c r="G142" s="47" t="str">
        <f t="shared" si="10"/>
        <v>Введите занчения</v>
      </c>
      <c r="H142" s="48" t="str">
        <f t="shared" si="12"/>
        <v>Введите занчения</v>
      </c>
      <c r="I142" s="14">
        <f>SUMIF('02.08'!$B$4:$B$11,A138,'02.08'!$C$4:$C$11)+SUMIF('02.08'!$D$4:$D$11,A138,'02.08'!$E$4:$E$11)+SUMIF('02.08'!$F$4:$F$11,A138,'02.08'!$G$4:$G$11)+SUMIF('02.08'!$H$4:$H$11,A138,'02.08'!$I$4:$I$11)+SUMIF('02.08'!$J$4:$J$11,A138,'02.08'!$K$4:$K$11)+SUMIF('02.08'!$L$4:$L$11,A138,'02.08'!$M$4:$M$11)+SUMIF('02.08'!$N$4:$N$11,A138,'02.08'!$O$4:$O$11)</f>
        <v>0</v>
      </c>
      <c r="J142" s="15">
        <f>SUMIF('03.08'!$B$4:$B$11,A138,'03.08'!$C$4:$C$11)+SUMIF('03.08'!$D$4:$D$11,A138,'03.08'!$E$4:$E$11)+SUMIF('03.08'!$F$4:$F$11,A138,'03.08'!$G$4:$G$11)+SUMIF('03.08'!$H$4:$H$11,A138,'03.08'!$I$4:$I$11)+SUMIF('03.08'!$J$4:$J$11,A138,'03.08'!$K$4:$K$11)+SUMIF('03.08'!$L$4:$L$11,A138,'03.08'!$M$4:$M$11)+SUMIF('03.08'!$N$4:$N$11,A138,'03.08'!$O$4:$O$11)</f>
        <v>0</v>
      </c>
      <c r="K142" s="15">
        <f>SUMIF('04.08'!$B$4:$B$11,A138,'04.08'!$C$4:$C$11)+SUMIF('04.08'!$D$4:$D$11,A138,'04.08'!$E$4:$E$11)+SUMIF('04.08'!$F$4:$F$11,A138,'04.08'!$G$4:$G$11)+SUMIF('04.08'!$H$4:$H$11,A138,'04.08'!$I$4:$I$11)+SUMIF('04.08'!$J$4:$J$11,A138,'04.08'!$K$4:$K$11)+SUMIF('04.08'!$L$4:$L$11,A138,'04.08'!$M$4:$M$11)+SUMIF('04.08'!$N$4:$N$11,A138,'04.08'!$O$4:$O$11)</f>
        <v>0</v>
      </c>
      <c r="L142" s="15">
        <f>SUMIF('05.08'!$B$4:$B$11,A138,'05.08'!$C$4:$C$11)+SUMIF('05.08'!$D$4:$D$11,A138,'05.08'!$E$4:$E$11)+SUMIF('05.08'!$F$4:$F$11,A138,'05.08'!$G$4:$G$11)+SUMIF('05.08'!$H$4:$H$11,A138,'05.08'!$I$4:$I$11)+SUMIF('05.08'!$J$4:$J$11,A138,'05.08'!$K$4:$K$11)+SUMIF('05.08'!$L$4:$L$11,A138,'05.08'!$M$4:$M$11)+SUMIF('05.08'!$N$4:$N$11,A138,'05.08'!$O$4:$O$11)</f>
        <v>0</v>
      </c>
      <c r="M142" s="15">
        <f>SUMIF('06.08'!$B$4:$B$11,A138,'06.08'!$C$4:$C$11)+SUMIF('06.08'!$D$4:$D$11,A138,'06.08'!$E$4:$E$11)+SUMIF('06.08'!$F$4:$F$11,A138,'06.08'!$G$4:$G$11)+SUMIF('06.08'!$H$4:$H$11,A138,'06.08'!$I$4:$I$11)+SUMIF('06.08'!$J$4:$J$11,A138,'06.08'!$K$4:$K$11)+SUMIF('06.08'!$L$4:$L$11,A138,'06.08'!$M$4:$M$11)+SUMIF('06.08'!$N$4:$N$11,A138,'06.08'!$O$4:$O$11)</f>
        <v>0</v>
      </c>
      <c r="N142" s="15">
        <f>SUMIF('07.08'!$B$4:$B$11,A138,'07.08'!$C$4:$C$11)+SUMIF('07.08'!$D$4:$D$11,A138,'07.08'!$E$4:$E$11)+SUMIF('07.08'!$F$4:$F$11,A138,'07.08'!$G$4:$G$11)+SUMIF('07.08'!$H$4:$H$11,A138,'07.08'!$I$4:$I$11)+SUMIF('07.08'!$J$4:$J$11,A138,'07.08'!$K$4:$K$11)+SUMIF('07.08'!$L$4:$L$11,A138,'07.08'!$M$4:$M$11)+SUMIF('07.08'!$N$4:$N$11,A138,'07.08'!$O$4:$O$11)</f>
        <v>0</v>
      </c>
      <c r="O142" s="15">
        <f>SUMIF('08.08'!$B$4:$B$11,A138,'08.08'!$C$4:$C$11)+SUMIF('08.08'!$D$4:$D$11,A138,'08.08'!$E$4:$E$11)+SUMIF('08.08'!$F$4:$F$11,A138,'08.08'!$G$4:$G$11)+SUMIF('08.08'!$H$4:$H$11,A138,'08.08'!$I$4:$I$11)+SUMIF('08.08'!$J$4:$J$11,A138,'08.08'!$K$4:$K$11)+SUMIF('08.08'!$L$4:$L$11,A138,'08.08'!$M$4:$M$11)+SUMIF('08.08'!$N$4:$N$11,A138,'08.08'!$O$4:$O$11)</f>
        <v>0</v>
      </c>
      <c r="P142" s="15">
        <f>SUMIF('09.08'!$B$4:$B$11,A138,'09.08'!$C$4:$C$11)+SUMIF('09.08'!$D$4:$D$11,A138,'09.08'!$E$4:$E$11)+SUMIF('09.08'!$F$4:$F$11,A138,'09.08'!$G$4:$G$11)+SUMIF('09.08'!$H$4:$H$11,A138,'09.08'!$I$4:$I$11)+SUMIF('09.08'!$J$4:$J$11,A138,'09.08'!$K$4:$K$11)+SUMIF('09.08'!$L$4:$L$11,A138,'09.08'!$M$4:$M$11)+SUMIF('09.08'!$N$4:$N$11,A138,'09.08'!$O$4:$O$11)</f>
        <v>0</v>
      </c>
      <c r="Q142" s="15">
        <f>SUMIF('10.08'!$B$4:$B$11,A138,'10.08'!$C$4:$C$11)+SUMIF('10.08'!$D$4:$D$11,A138,'10.08'!$E$4:$E$11)+SUMIF('10.08'!$F$4:$F$11,A138,'10.08'!$G$4:$G$11)+SUMIF('10.08'!$H$4:$H$11,A138,'10.08'!$I$4:$I$11)+SUMIF('10.08'!$J$4:$J$11,A138,'10.08'!$K$4:$K$11)+SUMIF('10.08'!$L$4:$L$11,A138,'10.08'!$M$4:$M$11)+SUMIF('10.08'!$N$4:$N$11,A138,'10.08'!$O$4:$O$11)</f>
        <v>0</v>
      </c>
      <c r="R142" s="16" t="str">
        <f t="shared" si="14"/>
        <v>#N/A</v>
      </c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</row>
    <row r="143">
      <c r="A143" s="39" t="str">
        <f>'список продуктов'!A163</f>
        <v/>
      </c>
      <c r="B143" s="39" t="str">
        <f>'список продуктов'!B163</f>
        <v/>
      </c>
      <c r="C143" s="39" t="str">
        <f>'список продуктов'!C163</f>
        <v/>
      </c>
      <c r="D143" s="39" t="str">
        <f>'список продуктов'!D163</f>
        <v/>
      </c>
      <c r="E143" s="39" t="str">
        <f>'список продуктов'!E163</f>
        <v/>
      </c>
      <c r="F143" s="47" t="str">
        <f t="shared" si="15"/>
        <v>#N/A</v>
      </c>
      <c r="G143" s="47" t="str">
        <f t="shared" si="10"/>
        <v>Введите занчения</v>
      </c>
      <c r="H143" s="48" t="str">
        <f t="shared" si="12"/>
        <v>Введите занчения</v>
      </c>
      <c r="I143" s="14">
        <f>SUMIF('02.08'!$B$4:$B$11,A139,'02.08'!$C$4:$C$11)+SUMIF('02.08'!$D$4:$D$11,A139,'02.08'!$E$4:$E$11)+SUMIF('02.08'!$F$4:$F$11,A139,'02.08'!$G$4:$G$11)+SUMIF('02.08'!$H$4:$H$11,A139,'02.08'!$I$4:$I$11)+SUMIF('02.08'!$J$4:$J$11,A139,'02.08'!$K$4:$K$11)+SUMIF('02.08'!$L$4:$L$11,A139,'02.08'!$M$4:$M$11)+SUMIF('02.08'!$N$4:$N$11,A139,'02.08'!$O$4:$O$11)</f>
        <v>0</v>
      </c>
      <c r="J143" s="15">
        <f>SUMIF('03.08'!$B$4:$B$11,A139,'03.08'!$C$4:$C$11)+SUMIF('03.08'!$D$4:$D$11,A139,'03.08'!$E$4:$E$11)+SUMIF('03.08'!$F$4:$F$11,A139,'03.08'!$G$4:$G$11)+SUMIF('03.08'!$H$4:$H$11,A139,'03.08'!$I$4:$I$11)+SUMIF('03.08'!$J$4:$J$11,A139,'03.08'!$K$4:$K$11)+SUMIF('03.08'!$L$4:$L$11,A139,'03.08'!$M$4:$M$11)+SUMIF('03.08'!$N$4:$N$11,A139,'03.08'!$O$4:$O$11)</f>
        <v>0</v>
      </c>
      <c r="K143" s="15">
        <f>SUMIF('04.08'!$B$4:$B$11,A139,'04.08'!$C$4:$C$11)+SUMIF('04.08'!$D$4:$D$11,A139,'04.08'!$E$4:$E$11)+SUMIF('04.08'!$F$4:$F$11,A139,'04.08'!$G$4:$G$11)+SUMIF('04.08'!$H$4:$H$11,A139,'04.08'!$I$4:$I$11)+SUMIF('04.08'!$J$4:$J$11,A139,'04.08'!$K$4:$K$11)+SUMIF('04.08'!$L$4:$L$11,A139,'04.08'!$M$4:$M$11)+SUMIF('04.08'!$N$4:$N$11,A139,'04.08'!$O$4:$O$11)</f>
        <v>0</v>
      </c>
      <c r="L143" s="15">
        <f>SUMIF('05.08'!$B$4:$B$11,A139,'05.08'!$C$4:$C$11)+SUMIF('05.08'!$D$4:$D$11,A139,'05.08'!$E$4:$E$11)+SUMIF('05.08'!$F$4:$F$11,A139,'05.08'!$G$4:$G$11)+SUMIF('05.08'!$H$4:$H$11,A139,'05.08'!$I$4:$I$11)+SUMIF('05.08'!$J$4:$J$11,A139,'05.08'!$K$4:$K$11)+SUMIF('05.08'!$L$4:$L$11,A139,'05.08'!$M$4:$M$11)+SUMIF('05.08'!$N$4:$N$11,A139,'05.08'!$O$4:$O$11)</f>
        <v>0</v>
      </c>
      <c r="M143" s="15">
        <f>SUMIF('06.08'!$B$4:$B$11,A139,'06.08'!$C$4:$C$11)+SUMIF('06.08'!$D$4:$D$11,A139,'06.08'!$E$4:$E$11)+SUMIF('06.08'!$F$4:$F$11,A139,'06.08'!$G$4:$G$11)+SUMIF('06.08'!$H$4:$H$11,A139,'06.08'!$I$4:$I$11)+SUMIF('06.08'!$J$4:$J$11,A139,'06.08'!$K$4:$K$11)+SUMIF('06.08'!$L$4:$L$11,A139,'06.08'!$M$4:$M$11)+SUMIF('06.08'!$N$4:$N$11,A139,'06.08'!$O$4:$O$11)</f>
        <v>0</v>
      </c>
      <c r="N143" s="15">
        <f>SUMIF('07.08'!$B$4:$B$11,A139,'07.08'!$C$4:$C$11)+SUMIF('07.08'!$D$4:$D$11,A139,'07.08'!$E$4:$E$11)+SUMIF('07.08'!$F$4:$F$11,A139,'07.08'!$G$4:$G$11)+SUMIF('07.08'!$H$4:$H$11,A139,'07.08'!$I$4:$I$11)+SUMIF('07.08'!$J$4:$J$11,A139,'07.08'!$K$4:$K$11)+SUMIF('07.08'!$L$4:$L$11,A139,'07.08'!$M$4:$M$11)+SUMIF('07.08'!$N$4:$N$11,A139,'07.08'!$O$4:$O$11)</f>
        <v>0</v>
      </c>
      <c r="O143" s="15">
        <f>SUMIF('08.08'!$B$4:$B$11,A139,'08.08'!$C$4:$C$11)+SUMIF('08.08'!$D$4:$D$11,A139,'08.08'!$E$4:$E$11)+SUMIF('08.08'!$F$4:$F$11,A139,'08.08'!$G$4:$G$11)+SUMIF('08.08'!$H$4:$H$11,A139,'08.08'!$I$4:$I$11)+SUMIF('08.08'!$J$4:$J$11,A139,'08.08'!$K$4:$K$11)+SUMIF('08.08'!$L$4:$L$11,A139,'08.08'!$M$4:$M$11)+SUMIF('08.08'!$N$4:$N$11,A139,'08.08'!$O$4:$O$11)</f>
        <v>0</v>
      </c>
      <c r="P143" s="15">
        <f>SUMIF('09.08'!$B$4:$B$11,A139,'09.08'!$C$4:$C$11)+SUMIF('09.08'!$D$4:$D$11,A139,'09.08'!$E$4:$E$11)+SUMIF('09.08'!$F$4:$F$11,A139,'09.08'!$G$4:$G$11)+SUMIF('09.08'!$H$4:$H$11,A139,'09.08'!$I$4:$I$11)+SUMIF('09.08'!$J$4:$J$11,A139,'09.08'!$K$4:$K$11)+SUMIF('09.08'!$L$4:$L$11,A139,'09.08'!$M$4:$M$11)+SUMIF('09.08'!$N$4:$N$11,A139,'09.08'!$O$4:$O$11)</f>
        <v>0</v>
      </c>
      <c r="Q143" s="15">
        <f>SUMIF('10.08'!$B$4:$B$11,A139,'10.08'!$C$4:$C$11)+SUMIF('10.08'!$D$4:$D$11,A139,'10.08'!$E$4:$E$11)+SUMIF('10.08'!$F$4:$F$11,A139,'10.08'!$G$4:$G$11)+SUMIF('10.08'!$H$4:$H$11,A139,'10.08'!$I$4:$I$11)+SUMIF('10.08'!$J$4:$J$11,A139,'10.08'!$K$4:$K$11)+SUMIF('10.08'!$L$4:$L$11,A139,'10.08'!$M$4:$M$11)+SUMIF('10.08'!$N$4:$N$11,A139,'10.08'!$O$4:$O$11)</f>
        <v>0</v>
      </c>
      <c r="R143" s="16" t="str">
        <f t="shared" si="14"/>
        <v>#N/A</v>
      </c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</row>
    <row r="144">
      <c r="A144" s="39" t="str">
        <f>'список продуктов'!A164</f>
        <v/>
      </c>
      <c r="B144" s="39" t="str">
        <f>'список продуктов'!B164</f>
        <v/>
      </c>
      <c r="C144" s="39" t="str">
        <f>'список продуктов'!C164</f>
        <v/>
      </c>
      <c r="D144" s="39" t="str">
        <f>'список продуктов'!D164</f>
        <v/>
      </c>
      <c r="E144" s="39" t="str">
        <f>'список продуктов'!E164</f>
        <v/>
      </c>
      <c r="F144" s="47" t="str">
        <f t="shared" si="15"/>
        <v>#N/A</v>
      </c>
      <c r="G144" s="47" t="str">
        <f t="shared" si="10"/>
        <v>Введите занчения</v>
      </c>
      <c r="H144" s="48" t="str">
        <f t="shared" si="12"/>
        <v>Введите занчения</v>
      </c>
      <c r="I144" s="14">
        <f>SUMIF('02.08'!$B$4:$B$11,A140,'02.08'!$C$4:$C$11)+SUMIF('02.08'!$D$4:$D$11,A140,'02.08'!$E$4:$E$11)+SUMIF('02.08'!$F$4:$F$11,A140,'02.08'!$G$4:$G$11)+SUMIF('02.08'!$H$4:$H$11,A140,'02.08'!$I$4:$I$11)+SUMIF('02.08'!$J$4:$J$11,A140,'02.08'!$K$4:$K$11)+SUMIF('02.08'!$L$4:$L$11,A140,'02.08'!$M$4:$M$11)+SUMIF('02.08'!$N$4:$N$11,A140,'02.08'!$O$4:$O$11)</f>
        <v>0</v>
      </c>
      <c r="J144" s="15">
        <f>SUMIF('03.08'!$B$4:$B$11,A140,'03.08'!$C$4:$C$11)+SUMIF('03.08'!$D$4:$D$11,A140,'03.08'!$E$4:$E$11)+SUMIF('03.08'!$F$4:$F$11,A140,'03.08'!$G$4:$G$11)+SUMIF('03.08'!$H$4:$H$11,A140,'03.08'!$I$4:$I$11)+SUMIF('03.08'!$J$4:$J$11,A140,'03.08'!$K$4:$K$11)+SUMIF('03.08'!$L$4:$L$11,A140,'03.08'!$M$4:$M$11)+SUMIF('03.08'!$N$4:$N$11,A140,'03.08'!$O$4:$O$11)</f>
        <v>0</v>
      </c>
      <c r="K144" s="15">
        <f>SUMIF('04.08'!$B$4:$B$11,A140,'04.08'!$C$4:$C$11)+SUMIF('04.08'!$D$4:$D$11,A140,'04.08'!$E$4:$E$11)+SUMIF('04.08'!$F$4:$F$11,A140,'04.08'!$G$4:$G$11)+SUMIF('04.08'!$H$4:$H$11,A140,'04.08'!$I$4:$I$11)+SUMIF('04.08'!$J$4:$J$11,A140,'04.08'!$K$4:$K$11)+SUMIF('04.08'!$L$4:$L$11,A140,'04.08'!$M$4:$M$11)+SUMIF('04.08'!$N$4:$N$11,A140,'04.08'!$O$4:$O$11)</f>
        <v>0</v>
      </c>
      <c r="L144" s="15">
        <f>SUMIF('05.08'!$B$4:$B$11,A140,'05.08'!$C$4:$C$11)+SUMIF('05.08'!$D$4:$D$11,A140,'05.08'!$E$4:$E$11)+SUMIF('05.08'!$F$4:$F$11,A140,'05.08'!$G$4:$G$11)+SUMIF('05.08'!$H$4:$H$11,A140,'05.08'!$I$4:$I$11)+SUMIF('05.08'!$J$4:$J$11,A140,'05.08'!$K$4:$K$11)+SUMIF('05.08'!$L$4:$L$11,A140,'05.08'!$M$4:$M$11)+SUMIF('05.08'!$N$4:$N$11,A140,'05.08'!$O$4:$O$11)</f>
        <v>0</v>
      </c>
      <c r="M144" s="15">
        <f>SUMIF('06.08'!$B$4:$B$11,A140,'06.08'!$C$4:$C$11)+SUMIF('06.08'!$D$4:$D$11,A140,'06.08'!$E$4:$E$11)+SUMIF('06.08'!$F$4:$F$11,A140,'06.08'!$G$4:$G$11)+SUMIF('06.08'!$H$4:$H$11,A140,'06.08'!$I$4:$I$11)+SUMIF('06.08'!$J$4:$J$11,A140,'06.08'!$K$4:$K$11)+SUMIF('06.08'!$L$4:$L$11,A140,'06.08'!$M$4:$M$11)+SUMIF('06.08'!$N$4:$N$11,A140,'06.08'!$O$4:$O$11)</f>
        <v>0</v>
      </c>
      <c r="N144" s="15">
        <f>SUMIF('07.08'!$B$4:$B$11,A140,'07.08'!$C$4:$C$11)+SUMIF('07.08'!$D$4:$D$11,A140,'07.08'!$E$4:$E$11)+SUMIF('07.08'!$F$4:$F$11,A140,'07.08'!$G$4:$G$11)+SUMIF('07.08'!$H$4:$H$11,A140,'07.08'!$I$4:$I$11)+SUMIF('07.08'!$J$4:$J$11,A140,'07.08'!$K$4:$K$11)+SUMIF('07.08'!$L$4:$L$11,A140,'07.08'!$M$4:$M$11)+SUMIF('07.08'!$N$4:$N$11,A140,'07.08'!$O$4:$O$11)</f>
        <v>0</v>
      </c>
      <c r="O144" s="15">
        <f>SUMIF('08.08'!$B$4:$B$11,A140,'08.08'!$C$4:$C$11)+SUMIF('08.08'!$D$4:$D$11,A140,'08.08'!$E$4:$E$11)+SUMIF('08.08'!$F$4:$F$11,A140,'08.08'!$G$4:$G$11)+SUMIF('08.08'!$H$4:$H$11,A140,'08.08'!$I$4:$I$11)+SUMIF('08.08'!$J$4:$J$11,A140,'08.08'!$K$4:$K$11)+SUMIF('08.08'!$L$4:$L$11,A140,'08.08'!$M$4:$M$11)+SUMIF('08.08'!$N$4:$N$11,A140,'08.08'!$O$4:$O$11)</f>
        <v>0</v>
      </c>
      <c r="P144" s="15">
        <f>SUMIF('09.08'!$B$4:$B$11,A140,'09.08'!$C$4:$C$11)+SUMIF('09.08'!$D$4:$D$11,A140,'09.08'!$E$4:$E$11)+SUMIF('09.08'!$F$4:$F$11,A140,'09.08'!$G$4:$G$11)+SUMIF('09.08'!$H$4:$H$11,A140,'09.08'!$I$4:$I$11)+SUMIF('09.08'!$J$4:$J$11,A140,'09.08'!$K$4:$K$11)+SUMIF('09.08'!$L$4:$L$11,A140,'09.08'!$M$4:$M$11)+SUMIF('09.08'!$N$4:$N$11,A140,'09.08'!$O$4:$O$11)</f>
        <v>0</v>
      </c>
      <c r="Q144" s="15">
        <f>SUMIF('10.08'!$B$4:$B$11,A140,'10.08'!$C$4:$C$11)+SUMIF('10.08'!$D$4:$D$11,A140,'10.08'!$E$4:$E$11)+SUMIF('10.08'!$F$4:$F$11,A140,'10.08'!$G$4:$G$11)+SUMIF('10.08'!$H$4:$H$11,A140,'10.08'!$I$4:$I$11)+SUMIF('10.08'!$J$4:$J$11,A140,'10.08'!$K$4:$K$11)+SUMIF('10.08'!$L$4:$L$11,A140,'10.08'!$M$4:$M$11)+SUMIF('10.08'!$N$4:$N$11,A140,'10.08'!$O$4:$O$11)</f>
        <v>0</v>
      </c>
      <c r="R144" s="16" t="str">
        <f t="shared" si="14"/>
        <v>#N/A</v>
      </c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</row>
    <row r="145">
      <c r="A145" s="39" t="str">
        <f>'список продуктов'!A165</f>
        <v/>
      </c>
      <c r="B145" s="39" t="str">
        <f>'список продуктов'!B165</f>
        <v/>
      </c>
      <c r="C145" s="39" t="str">
        <f>'список продуктов'!C165</f>
        <v/>
      </c>
      <c r="D145" s="39" t="str">
        <f>'список продуктов'!D165</f>
        <v/>
      </c>
      <c r="E145" s="39" t="str">
        <f>'список продуктов'!E165</f>
        <v/>
      </c>
      <c r="F145" s="47" t="str">
        <f t="shared" si="15"/>
        <v>#N/A</v>
      </c>
      <c r="G145" s="47" t="str">
        <f t="shared" si="10"/>
        <v>Введите занчения</v>
      </c>
      <c r="H145" s="48" t="str">
        <f t="shared" si="12"/>
        <v>Введите занчения</v>
      </c>
      <c r="I145" s="14">
        <f>SUMIF('02.08'!$B$4:$B$11,A141,'02.08'!$C$4:$C$11)+SUMIF('02.08'!$D$4:$D$11,A141,'02.08'!$E$4:$E$11)+SUMIF('02.08'!$F$4:$F$11,A141,'02.08'!$G$4:$G$11)+SUMIF('02.08'!$H$4:$H$11,A141,'02.08'!$I$4:$I$11)+SUMIF('02.08'!$J$4:$J$11,A141,'02.08'!$K$4:$K$11)+SUMIF('02.08'!$L$4:$L$11,A141,'02.08'!$M$4:$M$11)+SUMIF('02.08'!$N$4:$N$11,A141,'02.08'!$O$4:$O$11)</f>
        <v>0</v>
      </c>
      <c r="J145" s="15">
        <f>SUMIF('03.08'!$B$4:$B$11,A141,'03.08'!$C$4:$C$11)+SUMIF('03.08'!$D$4:$D$11,A141,'03.08'!$E$4:$E$11)+SUMIF('03.08'!$F$4:$F$11,A141,'03.08'!$G$4:$G$11)+SUMIF('03.08'!$H$4:$H$11,A141,'03.08'!$I$4:$I$11)+SUMIF('03.08'!$J$4:$J$11,A141,'03.08'!$K$4:$K$11)+SUMIF('03.08'!$L$4:$L$11,A141,'03.08'!$M$4:$M$11)+SUMIF('03.08'!$N$4:$N$11,A141,'03.08'!$O$4:$O$11)</f>
        <v>0</v>
      </c>
      <c r="K145" s="15">
        <f>SUMIF('04.08'!$B$4:$B$11,A141,'04.08'!$C$4:$C$11)+SUMIF('04.08'!$D$4:$D$11,A141,'04.08'!$E$4:$E$11)+SUMIF('04.08'!$F$4:$F$11,A141,'04.08'!$G$4:$G$11)+SUMIF('04.08'!$H$4:$H$11,A141,'04.08'!$I$4:$I$11)+SUMIF('04.08'!$J$4:$J$11,A141,'04.08'!$K$4:$K$11)+SUMIF('04.08'!$L$4:$L$11,A141,'04.08'!$M$4:$M$11)+SUMIF('04.08'!$N$4:$N$11,A141,'04.08'!$O$4:$O$11)</f>
        <v>0</v>
      </c>
      <c r="L145" s="15">
        <f>SUMIF('05.08'!$B$4:$B$11,A141,'05.08'!$C$4:$C$11)+SUMIF('05.08'!$D$4:$D$11,A141,'05.08'!$E$4:$E$11)+SUMIF('05.08'!$F$4:$F$11,A141,'05.08'!$G$4:$G$11)+SUMIF('05.08'!$H$4:$H$11,A141,'05.08'!$I$4:$I$11)+SUMIF('05.08'!$J$4:$J$11,A141,'05.08'!$K$4:$K$11)+SUMIF('05.08'!$L$4:$L$11,A141,'05.08'!$M$4:$M$11)+SUMIF('05.08'!$N$4:$N$11,A141,'05.08'!$O$4:$O$11)</f>
        <v>0</v>
      </c>
      <c r="M145" s="15">
        <f>SUMIF('06.08'!$B$4:$B$11,A141,'06.08'!$C$4:$C$11)+SUMIF('06.08'!$D$4:$D$11,A141,'06.08'!$E$4:$E$11)+SUMIF('06.08'!$F$4:$F$11,A141,'06.08'!$G$4:$G$11)+SUMIF('06.08'!$H$4:$H$11,A141,'06.08'!$I$4:$I$11)+SUMIF('06.08'!$J$4:$J$11,A141,'06.08'!$K$4:$K$11)+SUMIF('06.08'!$L$4:$L$11,A141,'06.08'!$M$4:$M$11)+SUMIF('06.08'!$N$4:$N$11,A141,'06.08'!$O$4:$O$11)</f>
        <v>0</v>
      </c>
      <c r="N145" s="15">
        <f>SUMIF('07.08'!$B$4:$B$11,A141,'07.08'!$C$4:$C$11)+SUMIF('07.08'!$D$4:$D$11,A141,'07.08'!$E$4:$E$11)+SUMIF('07.08'!$F$4:$F$11,A141,'07.08'!$G$4:$G$11)+SUMIF('07.08'!$H$4:$H$11,A141,'07.08'!$I$4:$I$11)+SUMIF('07.08'!$J$4:$J$11,A141,'07.08'!$K$4:$K$11)+SUMIF('07.08'!$L$4:$L$11,A141,'07.08'!$M$4:$M$11)+SUMIF('07.08'!$N$4:$N$11,A141,'07.08'!$O$4:$O$11)</f>
        <v>0</v>
      </c>
      <c r="O145" s="15">
        <f>SUMIF('08.08'!$B$4:$B$11,A141,'08.08'!$C$4:$C$11)+SUMIF('08.08'!$D$4:$D$11,A141,'08.08'!$E$4:$E$11)+SUMIF('08.08'!$F$4:$F$11,A141,'08.08'!$G$4:$G$11)+SUMIF('08.08'!$H$4:$H$11,A141,'08.08'!$I$4:$I$11)+SUMIF('08.08'!$J$4:$J$11,A141,'08.08'!$K$4:$K$11)+SUMIF('08.08'!$L$4:$L$11,A141,'08.08'!$M$4:$M$11)+SUMIF('08.08'!$N$4:$N$11,A141,'08.08'!$O$4:$O$11)</f>
        <v>0</v>
      </c>
      <c r="P145" s="15">
        <f>SUMIF('09.08'!$B$4:$B$11,A141,'09.08'!$C$4:$C$11)+SUMIF('09.08'!$D$4:$D$11,A141,'09.08'!$E$4:$E$11)+SUMIF('09.08'!$F$4:$F$11,A141,'09.08'!$G$4:$G$11)+SUMIF('09.08'!$H$4:$H$11,A141,'09.08'!$I$4:$I$11)+SUMIF('09.08'!$J$4:$J$11,A141,'09.08'!$K$4:$K$11)+SUMIF('09.08'!$L$4:$L$11,A141,'09.08'!$M$4:$M$11)+SUMIF('09.08'!$N$4:$N$11,A141,'09.08'!$O$4:$O$11)</f>
        <v>0</v>
      </c>
      <c r="Q145" s="15">
        <f>SUMIF('10.08'!$B$4:$B$11,A141,'10.08'!$C$4:$C$11)+SUMIF('10.08'!$D$4:$D$11,A141,'10.08'!$E$4:$E$11)+SUMIF('10.08'!$F$4:$F$11,A141,'10.08'!$G$4:$G$11)+SUMIF('10.08'!$H$4:$H$11,A141,'10.08'!$I$4:$I$11)+SUMIF('10.08'!$J$4:$J$11,A141,'10.08'!$K$4:$K$11)+SUMIF('10.08'!$L$4:$L$11,A141,'10.08'!$M$4:$M$11)+SUMIF('10.08'!$N$4:$N$11,A141,'10.08'!$O$4:$O$11)</f>
        <v>0</v>
      </c>
      <c r="R145" s="16" t="str">
        <f t="shared" si="14"/>
        <v>#N/A</v>
      </c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</row>
    <row r="146">
      <c r="A146" s="39" t="str">
        <f>'список продуктов'!A166</f>
        <v/>
      </c>
      <c r="B146" s="39" t="str">
        <f>'список продуктов'!B166</f>
        <v/>
      </c>
      <c r="C146" s="39" t="str">
        <f>'список продуктов'!C166</f>
        <v/>
      </c>
      <c r="D146" s="39" t="str">
        <f>'список продуктов'!D166</f>
        <v/>
      </c>
      <c r="E146" s="39" t="str">
        <f>'список продуктов'!E166</f>
        <v/>
      </c>
      <c r="F146" s="47" t="str">
        <f t="shared" si="15"/>
        <v>#N/A</v>
      </c>
      <c r="G146" s="47" t="str">
        <f t="shared" si="10"/>
        <v>Введите занчения</v>
      </c>
      <c r="H146" s="48" t="str">
        <f t="shared" si="12"/>
        <v>Введите занчения</v>
      </c>
      <c r="I146" s="14">
        <f>SUMIF('02.08'!$B$4:$B$11,A142,'02.08'!$C$4:$C$11)+SUMIF('02.08'!$D$4:$D$11,A142,'02.08'!$E$4:$E$11)+SUMIF('02.08'!$F$4:$F$11,A142,'02.08'!$G$4:$G$11)+SUMIF('02.08'!$H$4:$H$11,A142,'02.08'!$I$4:$I$11)+SUMIF('02.08'!$J$4:$J$11,A142,'02.08'!$K$4:$K$11)+SUMIF('02.08'!$L$4:$L$11,A142,'02.08'!$M$4:$M$11)+SUMIF('02.08'!$N$4:$N$11,A142,'02.08'!$O$4:$O$11)</f>
        <v>0</v>
      </c>
      <c r="J146" s="15">
        <f>SUMIF('03.08'!$B$4:$B$11,A142,'03.08'!$C$4:$C$11)+SUMIF('03.08'!$D$4:$D$11,A142,'03.08'!$E$4:$E$11)+SUMIF('03.08'!$F$4:$F$11,A142,'03.08'!$G$4:$G$11)+SUMIF('03.08'!$H$4:$H$11,A142,'03.08'!$I$4:$I$11)+SUMIF('03.08'!$J$4:$J$11,A142,'03.08'!$K$4:$K$11)+SUMIF('03.08'!$L$4:$L$11,A142,'03.08'!$M$4:$M$11)+SUMIF('03.08'!$N$4:$N$11,A142,'03.08'!$O$4:$O$11)</f>
        <v>0</v>
      </c>
      <c r="K146" s="15">
        <f>SUMIF('04.08'!$B$4:$B$11,A142,'04.08'!$C$4:$C$11)+SUMIF('04.08'!$D$4:$D$11,A142,'04.08'!$E$4:$E$11)+SUMIF('04.08'!$F$4:$F$11,A142,'04.08'!$G$4:$G$11)+SUMIF('04.08'!$H$4:$H$11,A142,'04.08'!$I$4:$I$11)+SUMIF('04.08'!$J$4:$J$11,A142,'04.08'!$K$4:$K$11)+SUMIF('04.08'!$L$4:$L$11,A142,'04.08'!$M$4:$M$11)+SUMIF('04.08'!$N$4:$N$11,A142,'04.08'!$O$4:$O$11)</f>
        <v>0</v>
      </c>
      <c r="L146" s="15">
        <f>SUMIF('05.08'!$B$4:$B$11,A142,'05.08'!$C$4:$C$11)+SUMIF('05.08'!$D$4:$D$11,A142,'05.08'!$E$4:$E$11)+SUMIF('05.08'!$F$4:$F$11,A142,'05.08'!$G$4:$G$11)+SUMIF('05.08'!$H$4:$H$11,A142,'05.08'!$I$4:$I$11)+SUMIF('05.08'!$J$4:$J$11,A142,'05.08'!$K$4:$K$11)+SUMIF('05.08'!$L$4:$L$11,A142,'05.08'!$M$4:$M$11)+SUMIF('05.08'!$N$4:$N$11,A142,'05.08'!$O$4:$O$11)</f>
        <v>0</v>
      </c>
      <c r="M146" s="15">
        <f>SUMIF('06.08'!$B$4:$B$11,A142,'06.08'!$C$4:$C$11)+SUMIF('06.08'!$D$4:$D$11,A142,'06.08'!$E$4:$E$11)+SUMIF('06.08'!$F$4:$F$11,A142,'06.08'!$G$4:$G$11)+SUMIF('06.08'!$H$4:$H$11,A142,'06.08'!$I$4:$I$11)+SUMIF('06.08'!$J$4:$J$11,A142,'06.08'!$K$4:$K$11)+SUMIF('06.08'!$L$4:$L$11,A142,'06.08'!$M$4:$M$11)+SUMIF('06.08'!$N$4:$N$11,A142,'06.08'!$O$4:$O$11)</f>
        <v>0</v>
      </c>
      <c r="N146" s="15">
        <f>SUMIF('07.08'!$B$4:$B$11,A142,'07.08'!$C$4:$C$11)+SUMIF('07.08'!$D$4:$D$11,A142,'07.08'!$E$4:$E$11)+SUMIF('07.08'!$F$4:$F$11,A142,'07.08'!$G$4:$G$11)+SUMIF('07.08'!$H$4:$H$11,A142,'07.08'!$I$4:$I$11)+SUMIF('07.08'!$J$4:$J$11,A142,'07.08'!$K$4:$K$11)+SUMIF('07.08'!$L$4:$L$11,A142,'07.08'!$M$4:$M$11)+SUMIF('07.08'!$N$4:$N$11,A142,'07.08'!$O$4:$O$11)</f>
        <v>0</v>
      </c>
      <c r="O146" s="15">
        <f>SUMIF('08.08'!$B$4:$B$11,A142,'08.08'!$C$4:$C$11)+SUMIF('08.08'!$D$4:$D$11,A142,'08.08'!$E$4:$E$11)+SUMIF('08.08'!$F$4:$F$11,A142,'08.08'!$G$4:$G$11)+SUMIF('08.08'!$H$4:$H$11,A142,'08.08'!$I$4:$I$11)+SUMIF('08.08'!$J$4:$J$11,A142,'08.08'!$K$4:$K$11)+SUMIF('08.08'!$L$4:$L$11,A142,'08.08'!$M$4:$M$11)+SUMIF('08.08'!$N$4:$N$11,A142,'08.08'!$O$4:$O$11)</f>
        <v>0</v>
      </c>
      <c r="P146" s="15">
        <f>SUMIF('09.08'!$B$4:$B$11,A142,'09.08'!$C$4:$C$11)+SUMIF('09.08'!$D$4:$D$11,A142,'09.08'!$E$4:$E$11)+SUMIF('09.08'!$F$4:$F$11,A142,'09.08'!$G$4:$G$11)+SUMIF('09.08'!$H$4:$H$11,A142,'09.08'!$I$4:$I$11)+SUMIF('09.08'!$J$4:$J$11,A142,'09.08'!$K$4:$K$11)+SUMIF('09.08'!$L$4:$L$11,A142,'09.08'!$M$4:$M$11)+SUMIF('09.08'!$N$4:$N$11,A142,'09.08'!$O$4:$O$11)</f>
        <v>0</v>
      </c>
      <c r="Q146" s="15">
        <f>SUMIF('10.08'!$B$4:$B$11,A142,'10.08'!$C$4:$C$11)+SUMIF('10.08'!$D$4:$D$11,A142,'10.08'!$E$4:$E$11)+SUMIF('10.08'!$F$4:$F$11,A142,'10.08'!$G$4:$G$11)+SUMIF('10.08'!$H$4:$H$11,A142,'10.08'!$I$4:$I$11)+SUMIF('10.08'!$J$4:$J$11,A142,'10.08'!$K$4:$K$11)+SUMIF('10.08'!$L$4:$L$11,A142,'10.08'!$M$4:$M$11)+SUMIF('10.08'!$N$4:$N$11,A142,'10.08'!$O$4:$O$11)</f>
        <v>0</v>
      </c>
      <c r="R146" s="16" t="str">
        <f t="shared" si="14"/>
        <v>#N/A</v>
      </c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</row>
    <row r="147">
      <c r="A147" s="39" t="str">
        <f>'список продуктов'!A167</f>
        <v/>
      </c>
      <c r="B147" s="39" t="str">
        <f>'список продуктов'!B167</f>
        <v/>
      </c>
      <c r="C147" s="39" t="str">
        <f>'список продуктов'!C167</f>
        <v/>
      </c>
      <c r="D147" s="39" t="str">
        <f>'список продуктов'!D167</f>
        <v/>
      </c>
      <c r="E147" s="39" t="str">
        <f>'список продуктов'!E167</f>
        <v/>
      </c>
      <c r="F147" s="47" t="str">
        <f t="shared" si="15"/>
        <v>#N/A</v>
      </c>
      <c r="G147" s="47" t="str">
        <f t="shared" si="10"/>
        <v>Введите занчения</v>
      </c>
      <c r="H147" s="48" t="str">
        <f t="shared" si="12"/>
        <v>Введите занчения</v>
      </c>
      <c r="I147" s="14">
        <f>SUMIF('02.08'!$B$4:$B$11,A143,'02.08'!$C$4:$C$11)+SUMIF('02.08'!$D$4:$D$11,A143,'02.08'!$E$4:$E$11)+SUMIF('02.08'!$F$4:$F$11,A143,'02.08'!$G$4:$G$11)+SUMIF('02.08'!$H$4:$H$11,A143,'02.08'!$I$4:$I$11)+SUMIF('02.08'!$J$4:$J$11,A143,'02.08'!$K$4:$K$11)+SUMIF('02.08'!$L$4:$L$11,A143,'02.08'!$M$4:$M$11)+SUMIF('02.08'!$N$4:$N$11,A143,'02.08'!$O$4:$O$11)</f>
        <v>0</v>
      </c>
      <c r="J147" s="15">
        <f>SUMIF('03.08'!$B$4:$B$11,A143,'03.08'!$C$4:$C$11)+SUMIF('03.08'!$D$4:$D$11,A143,'03.08'!$E$4:$E$11)+SUMIF('03.08'!$F$4:$F$11,A143,'03.08'!$G$4:$G$11)+SUMIF('03.08'!$H$4:$H$11,A143,'03.08'!$I$4:$I$11)+SUMIF('03.08'!$J$4:$J$11,A143,'03.08'!$K$4:$K$11)+SUMIF('03.08'!$L$4:$L$11,A143,'03.08'!$M$4:$M$11)+SUMIF('03.08'!$N$4:$N$11,A143,'03.08'!$O$4:$O$11)</f>
        <v>0</v>
      </c>
      <c r="K147" s="15">
        <f>SUMIF('04.08'!$B$4:$B$11,A143,'04.08'!$C$4:$C$11)+SUMIF('04.08'!$D$4:$D$11,A143,'04.08'!$E$4:$E$11)+SUMIF('04.08'!$F$4:$F$11,A143,'04.08'!$G$4:$G$11)+SUMIF('04.08'!$H$4:$H$11,A143,'04.08'!$I$4:$I$11)+SUMIF('04.08'!$J$4:$J$11,A143,'04.08'!$K$4:$K$11)+SUMIF('04.08'!$L$4:$L$11,A143,'04.08'!$M$4:$M$11)+SUMIF('04.08'!$N$4:$N$11,A143,'04.08'!$O$4:$O$11)</f>
        <v>0</v>
      </c>
      <c r="L147" s="15">
        <f>SUMIF('05.08'!$B$4:$B$11,A143,'05.08'!$C$4:$C$11)+SUMIF('05.08'!$D$4:$D$11,A143,'05.08'!$E$4:$E$11)+SUMIF('05.08'!$F$4:$F$11,A143,'05.08'!$G$4:$G$11)+SUMIF('05.08'!$H$4:$H$11,A143,'05.08'!$I$4:$I$11)+SUMIF('05.08'!$J$4:$J$11,A143,'05.08'!$K$4:$K$11)+SUMIF('05.08'!$L$4:$L$11,A143,'05.08'!$M$4:$M$11)+SUMIF('05.08'!$N$4:$N$11,A143,'05.08'!$O$4:$O$11)</f>
        <v>0</v>
      </c>
      <c r="M147" s="15">
        <f>SUMIF('06.08'!$B$4:$B$11,A143,'06.08'!$C$4:$C$11)+SUMIF('06.08'!$D$4:$D$11,A143,'06.08'!$E$4:$E$11)+SUMIF('06.08'!$F$4:$F$11,A143,'06.08'!$G$4:$G$11)+SUMIF('06.08'!$H$4:$H$11,A143,'06.08'!$I$4:$I$11)+SUMIF('06.08'!$J$4:$J$11,A143,'06.08'!$K$4:$K$11)+SUMIF('06.08'!$L$4:$L$11,A143,'06.08'!$M$4:$M$11)+SUMIF('06.08'!$N$4:$N$11,A143,'06.08'!$O$4:$O$11)</f>
        <v>0</v>
      </c>
      <c r="N147" s="15">
        <f>SUMIF('07.08'!$B$4:$B$11,A143,'07.08'!$C$4:$C$11)+SUMIF('07.08'!$D$4:$D$11,A143,'07.08'!$E$4:$E$11)+SUMIF('07.08'!$F$4:$F$11,A143,'07.08'!$G$4:$G$11)+SUMIF('07.08'!$H$4:$H$11,A143,'07.08'!$I$4:$I$11)+SUMIF('07.08'!$J$4:$J$11,A143,'07.08'!$K$4:$K$11)+SUMIF('07.08'!$L$4:$L$11,A143,'07.08'!$M$4:$M$11)+SUMIF('07.08'!$N$4:$N$11,A143,'07.08'!$O$4:$O$11)</f>
        <v>0</v>
      </c>
      <c r="O147" s="15">
        <f>SUMIF('08.08'!$B$4:$B$11,A143,'08.08'!$C$4:$C$11)+SUMIF('08.08'!$D$4:$D$11,A143,'08.08'!$E$4:$E$11)+SUMIF('08.08'!$F$4:$F$11,A143,'08.08'!$G$4:$G$11)+SUMIF('08.08'!$H$4:$H$11,A143,'08.08'!$I$4:$I$11)+SUMIF('08.08'!$J$4:$J$11,A143,'08.08'!$K$4:$K$11)+SUMIF('08.08'!$L$4:$L$11,A143,'08.08'!$M$4:$M$11)+SUMIF('08.08'!$N$4:$N$11,A143,'08.08'!$O$4:$O$11)</f>
        <v>0</v>
      </c>
      <c r="P147" s="15">
        <f>SUMIF('09.08'!$B$4:$B$11,A143,'09.08'!$C$4:$C$11)+SUMIF('09.08'!$D$4:$D$11,A143,'09.08'!$E$4:$E$11)+SUMIF('09.08'!$F$4:$F$11,A143,'09.08'!$G$4:$G$11)+SUMIF('09.08'!$H$4:$H$11,A143,'09.08'!$I$4:$I$11)+SUMIF('09.08'!$J$4:$J$11,A143,'09.08'!$K$4:$K$11)+SUMIF('09.08'!$L$4:$L$11,A143,'09.08'!$M$4:$M$11)+SUMIF('09.08'!$N$4:$N$11,A143,'09.08'!$O$4:$O$11)</f>
        <v>0</v>
      </c>
      <c r="Q147" s="15">
        <f>SUMIF('10.08'!$B$4:$B$11,A143,'10.08'!$C$4:$C$11)+SUMIF('10.08'!$D$4:$D$11,A143,'10.08'!$E$4:$E$11)+SUMIF('10.08'!$F$4:$F$11,A143,'10.08'!$G$4:$G$11)+SUMIF('10.08'!$H$4:$H$11,A143,'10.08'!$I$4:$I$11)+SUMIF('10.08'!$J$4:$J$11,A143,'10.08'!$K$4:$K$11)+SUMIF('10.08'!$L$4:$L$11,A143,'10.08'!$M$4:$M$11)+SUMIF('10.08'!$N$4:$N$11,A143,'10.08'!$O$4:$O$11)</f>
        <v>0</v>
      </c>
      <c r="R147" s="16" t="str">
        <f t="shared" si="14"/>
        <v>#N/A</v>
      </c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</row>
    <row r="148">
      <c r="A148" s="39" t="str">
        <f>'список продуктов'!A168</f>
        <v/>
      </c>
      <c r="B148" s="39" t="str">
        <f>'список продуктов'!B168</f>
        <v/>
      </c>
      <c r="C148" s="39" t="str">
        <f>'список продуктов'!C168</f>
        <v/>
      </c>
      <c r="D148" s="39" t="str">
        <f>'список продуктов'!D168</f>
        <v/>
      </c>
      <c r="E148" s="39" t="str">
        <f>'список продуктов'!E168</f>
        <v/>
      </c>
      <c r="F148" s="47" t="str">
        <f t="shared" si="15"/>
        <v>#N/A</v>
      </c>
      <c r="G148" s="47" t="str">
        <f t="shared" si="10"/>
        <v>Введите занчения</v>
      </c>
      <c r="H148" s="48" t="str">
        <f t="shared" si="12"/>
        <v>Введите занчения</v>
      </c>
      <c r="I148" s="14">
        <f>SUMIF('02.08'!$B$4:$B$11,A144,'02.08'!$C$4:$C$11)+SUMIF('02.08'!$D$4:$D$11,A144,'02.08'!$E$4:$E$11)+SUMIF('02.08'!$F$4:$F$11,A144,'02.08'!$G$4:$G$11)+SUMIF('02.08'!$H$4:$H$11,A144,'02.08'!$I$4:$I$11)+SUMIF('02.08'!$J$4:$J$11,A144,'02.08'!$K$4:$K$11)+SUMIF('02.08'!$L$4:$L$11,A144,'02.08'!$M$4:$M$11)+SUMIF('02.08'!$N$4:$N$11,A144,'02.08'!$O$4:$O$11)</f>
        <v>0</v>
      </c>
      <c r="J148" s="15">
        <f>SUMIF('03.08'!$B$4:$B$11,A144,'03.08'!$C$4:$C$11)+SUMIF('03.08'!$D$4:$D$11,A144,'03.08'!$E$4:$E$11)+SUMIF('03.08'!$F$4:$F$11,A144,'03.08'!$G$4:$G$11)+SUMIF('03.08'!$H$4:$H$11,A144,'03.08'!$I$4:$I$11)+SUMIF('03.08'!$J$4:$J$11,A144,'03.08'!$K$4:$K$11)+SUMIF('03.08'!$L$4:$L$11,A144,'03.08'!$M$4:$M$11)+SUMIF('03.08'!$N$4:$N$11,A144,'03.08'!$O$4:$O$11)</f>
        <v>0</v>
      </c>
      <c r="K148" s="15">
        <f>SUMIF('04.08'!$B$4:$B$11,A144,'04.08'!$C$4:$C$11)+SUMIF('04.08'!$D$4:$D$11,A144,'04.08'!$E$4:$E$11)+SUMIF('04.08'!$F$4:$F$11,A144,'04.08'!$G$4:$G$11)+SUMIF('04.08'!$H$4:$H$11,A144,'04.08'!$I$4:$I$11)+SUMIF('04.08'!$J$4:$J$11,A144,'04.08'!$K$4:$K$11)+SUMIF('04.08'!$L$4:$L$11,A144,'04.08'!$M$4:$M$11)+SUMIF('04.08'!$N$4:$N$11,A144,'04.08'!$O$4:$O$11)</f>
        <v>0</v>
      </c>
      <c r="L148" s="15">
        <f>SUMIF('05.08'!$B$4:$B$11,A144,'05.08'!$C$4:$C$11)+SUMIF('05.08'!$D$4:$D$11,A144,'05.08'!$E$4:$E$11)+SUMIF('05.08'!$F$4:$F$11,A144,'05.08'!$G$4:$G$11)+SUMIF('05.08'!$H$4:$H$11,A144,'05.08'!$I$4:$I$11)+SUMIF('05.08'!$J$4:$J$11,A144,'05.08'!$K$4:$K$11)+SUMIF('05.08'!$L$4:$L$11,A144,'05.08'!$M$4:$M$11)+SUMIF('05.08'!$N$4:$N$11,A144,'05.08'!$O$4:$O$11)</f>
        <v>0</v>
      </c>
      <c r="M148" s="15">
        <f>SUMIF('06.08'!$B$4:$B$11,A144,'06.08'!$C$4:$C$11)+SUMIF('06.08'!$D$4:$D$11,A144,'06.08'!$E$4:$E$11)+SUMIF('06.08'!$F$4:$F$11,A144,'06.08'!$G$4:$G$11)+SUMIF('06.08'!$H$4:$H$11,A144,'06.08'!$I$4:$I$11)+SUMIF('06.08'!$J$4:$J$11,A144,'06.08'!$K$4:$K$11)+SUMIF('06.08'!$L$4:$L$11,A144,'06.08'!$M$4:$M$11)+SUMIF('06.08'!$N$4:$N$11,A144,'06.08'!$O$4:$O$11)</f>
        <v>0</v>
      </c>
      <c r="N148" s="15">
        <f>SUMIF('07.08'!$B$4:$B$11,A144,'07.08'!$C$4:$C$11)+SUMIF('07.08'!$D$4:$D$11,A144,'07.08'!$E$4:$E$11)+SUMIF('07.08'!$F$4:$F$11,A144,'07.08'!$G$4:$G$11)+SUMIF('07.08'!$H$4:$H$11,A144,'07.08'!$I$4:$I$11)+SUMIF('07.08'!$J$4:$J$11,A144,'07.08'!$K$4:$K$11)+SUMIF('07.08'!$L$4:$L$11,A144,'07.08'!$M$4:$M$11)+SUMIF('07.08'!$N$4:$N$11,A144,'07.08'!$O$4:$O$11)</f>
        <v>0</v>
      </c>
      <c r="O148" s="15">
        <f>SUMIF('08.08'!$B$4:$B$11,A144,'08.08'!$C$4:$C$11)+SUMIF('08.08'!$D$4:$D$11,A144,'08.08'!$E$4:$E$11)+SUMIF('08.08'!$F$4:$F$11,A144,'08.08'!$G$4:$G$11)+SUMIF('08.08'!$H$4:$H$11,A144,'08.08'!$I$4:$I$11)+SUMIF('08.08'!$J$4:$J$11,A144,'08.08'!$K$4:$K$11)+SUMIF('08.08'!$L$4:$L$11,A144,'08.08'!$M$4:$M$11)+SUMIF('08.08'!$N$4:$N$11,A144,'08.08'!$O$4:$O$11)</f>
        <v>0</v>
      </c>
      <c r="P148" s="15">
        <f>SUMIF('09.08'!$B$4:$B$11,A144,'09.08'!$C$4:$C$11)+SUMIF('09.08'!$D$4:$D$11,A144,'09.08'!$E$4:$E$11)+SUMIF('09.08'!$F$4:$F$11,A144,'09.08'!$G$4:$G$11)+SUMIF('09.08'!$H$4:$H$11,A144,'09.08'!$I$4:$I$11)+SUMIF('09.08'!$J$4:$J$11,A144,'09.08'!$K$4:$K$11)+SUMIF('09.08'!$L$4:$L$11,A144,'09.08'!$M$4:$M$11)+SUMIF('09.08'!$N$4:$N$11,A144,'09.08'!$O$4:$O$11)</f>
        <v>0</v>
      </c>
      <c r="Q148" s="15">
        <f>SUMIF('10.08'!$B$4:$B$11,A144,'10.08'!$C$4:$C$11)+SUMIF('10.08'!$D$4:$D$11,A144,'10.08'!$E$4:$E$11)+SUMIF('10.08'!$F$4:$F$11,A144,'10.08'!$G$4:$G$11)+SUMIF('10.08'!$H$4:$H$11,A144,'10.08'!$I$4:$I$11)+SUMIF('10.08'!$J$4:$J$11,A144,'10.08'!$K$4:$K$11)+SUMIF('10.08'!$L$4:$L$11,A144,'10.08'!$M$4:$M$11)+SUMIF('10.08'!$N$4:$N$11,A144,'10.08'!$O$4:$O$11)</f>
        <v>0</v>
      </c>
      <c r="R148" s="16" t="str">
        <f t="shared" si="14"/>
        <v>#N/A</v>
      </c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</row>
    <row r="149">
      <c r="A149" s="39" t="str">
        <f>'список продуктов'!A169</f>
        <v/>
      </c>
      <c r="B149" s="39" t="str">
        <f>'список продуктов'!B169</f>
        <v/>
      </c>
      <c r="C149" s="39" t="str">
        <f>'список продуктов'!C169</f>
        <v/>
      </c>
      <c r="D149" s="39" t="str">
        <f>'список продуктов'!D169</f>
        <v/>
      </c>
      <c r="E149" s="39" t="str">
        <f>'список продуктов'!E169</f>
        <v/>
      </c>
      <c r="F149" s="47" t="str">
        <f t="shared" si="15"/>
        <v>#N/A</v>
      </c>
      <c r="G149" s="47" t="str">
        <f t="shared" si="10"/>
        <v>Введите занчения</v>
      </c>
      <c r="H149" s="48" t="str">
        <f t="shared" si="12"/>
        <v>Введите занчения</v>
      </c>
      <c r="I149" s="14">
        <f>SUMIF('02.08'!$B$4:$B$11,A145,'02.08'!$C$4:$C$11)+SUMIF('02.08'!$D$4:$D$11,A145,'02.08'!$E$4:$E$11)+SUMIF('02.08'!$F$4:$F$11,A145,'02.08'!$G$4:$G$11)+SUMIF('02.08'!$H$4:$H$11,A145,'02.08'!$I$4:$I$11)+SUMIF('02.08'!$J$4:$J$11,A145,'02.08'!$K$4:$K$11)+SUMIF('02.08'!$L$4:$L$11,A145,'02.08'!$M$4:$M$11)+SUMIF('02.08'!$N$4:$N$11,A145,'02.08'!$O$4:$O$11)</f>
        <v>0</v>
      </c>
      <c r="J149" s="15">
        <f>SUMIF('03.08'!$B$4:$B$11,A145,'03.08'!$C$4:$C$11)+SUMIF('03.08'!$D$4:$D$11,A145,'03.08'!$E$4:$E$11)+SUMIF('03.08'!$F$4:$F$11,A145,'03.08'!$G$4:$G$11)+SUMIF('03.08'!$H$4:$H$11,A145,'03.08'!$I$4:$I$11)+SUMIF('03.08'!$J$4:$J$11,A145,'03.08'!$K$4:$K$11)+SUMIF('03.08'!$L$4:$L$11,A145,'03.08'!$M$4:$M$11)+SUMIF('03.08'!$N$4:$N$11,A145,'03.08'!$O$4:$O$11)</f>
        <v>0</v>
      </c>
      <c r="K149" s="15">
        <f>SUMIF('04.08'!$B$4:$B$11,A145,'04.08'!$C$4:$C$11)+SUMIF('04.08'!$D$4:$D$11,A145,'04.08'!$E$4:$E$11)+SUMIF('04.08'!$F$4:$F$11,A145,'04.08'!$G$4:$G$11)+SUMIF('04.08'!$H$4:$H$11,A145,'04.08'!$I$4:$I$11)+SUMIF('04.08'!$J$4:$J$11,A145,'04.08'!$K$4:$K$11)+SUMIF('04.08'!$L$4:$L$11,A145,'04.08'!$M$4:$M$11)+SUMIF('04.08'!$N$4:$N$11,A145,'04.08'!$O$4:$O$11)</f>
        <v>0</v>
      </c>
      <c r="L149" s="15">
        <f>SUMIF('05.08'!$B$4:$B$11,A145,'05.08'!$C$4:$C$11)+SUMIF('05.08'!$D$4:$D$11,A145,'05.08'!$E$4:$E$11)+SUMIF('05.08'!$F$4:$F$11,A145,'05.08'!$G$4:$G$11)+SUMIF('05.08'!$H$4:$H$11,A145,'05.08'!$I$4:$I$11)+SUMIF('05.08'!$J$4:$J$11,A145,'05.08'!$K$4:$K$11)+SUMIF('05.08'!$L$4:$L$11,A145,'05.08'!$M$4:$M$11)+SUMIF('05.08'!$N$4:$N$11,A145,'05.08'!$O$4:$O$11)</f>
        <v>0</v>
      </c>
      <c r="M149" s="15">
        <f>SUMIF('06.08'!$B$4:$B$11,A145,'06.08'!$C$4:$C$11)+SUMIF('06.08'!$D$4:$D$11,A145,'06.08'!$E$4:$E$11)+SUMIF('06.08'!$F$4:$F$11,A145,'06.08'!$G$4:$G$11)+SUMIF('06.08'!$H$4:$H$11,A145,'06.08'!$I$4:$I$11)+SUMIF('06.08'!$J$4:$J$11,A145,'06.08'!$K$4:$K$11)+SUMIF('06.08'!$L$4:$L$11,A145,'06.08'!$M$4:$M$11)+SUMIF('06.08'!$N$4:$N$11,A145,'06.08'!$O$4:$O$11)</f>
        <v>0</v>
      </c>
      <c r="N149" s="15">
        <f>SUMIF('07.08'!$B$4:$B$11,A145,'07.08'!$C$4:$C$11)+SUMIF('07.08'!$D$4:$D$11,A145,'07.08'!$E$4:$E$11)+SUMIF('07.08'!$F$4:$F$11,A145,'07.08'!$G$4:$G$11)+SUMIF('07.08'!$H$4:$H$11,A145,'07.08'!$I$4:$I$11)+SUMIF('07.08'!$J$4:$J$11,A145,'07.08'!$K$4:$K$11)+SUMIF('07.08'!$L$4:$L$11,A145,'07.08'!$M$4:$M$11)+SUMIF('07.08'!$N$4:$N$11,A145,'07.08'!$O$4:$O$11)</f>
        <v>0</v>
      </c>
      <c r="O149" s="15">
        <f>SUMIF('08.08'!$B$4:$B$11,A145,'08.08'!$C$4:$C$11)+SUMIF('08.08'!$D$4:$D$11,A145,'08.08'!$E$4:$E$11)+SUMIF('08.08'!$F$4:$F$11,A145,'08.08'!$G$4:$G$11)+SUMIF('08.08'!$H$4:$H$11,A145,'08.08'!$I$4:$I$11)+SUMIF('08.08'!$J$4:$J$11,A145,'08.08'!$K$4:$K$11)+SUMIF('08.08'!$L$4:$L$11,A145,'08.08'!$M$4:$M$11)+SUMIF('08.08'!$N$4:$N$11,A145,'08.08'!$O$4:$O$11)</f>
        <v>0</v>
      </c>
      <c r="P149" s="15">
        <f>SUMIF('09.08'!$B$4:$B$11,A145,'09.08'!$C$4:$C$11)+SUMIF('09.08'!$D$4:$D$11,A145,'09.08'!$E$4:$E$11)+SUMIF('09.08'!$F$4:$F$11,A145,'09.08'!$G$4:$G$11)+SUMIF('09.08'!$H$4:$H$11,A145,'09.08'!$I$4:$I$11)+SUMIF('09.08'!$J$4:$J$11,A145,'09.08'!$K$4:$K$11)+SUMIF('09.08'!$L$4:$L$11,A145,'09.08'!$M$4:$M$11)+SUMIF('09.08'!$N$4:$N$11,A145,'09.08'!$O$4:$O$11)</f>
        <v>0</v>
      </c>
      <c r="Q149" s="15">
        <f>SUMIF('10.08'!$B$4:$B$11,A145,'10.08'!$C$4:$C$11)+SUMIF('10.08'!$D$4:$D$11,A145,'10.08'!$E$4:$E$11)+SUMIF('10.08'!$F$4:$F$11,A145,'10.08'!$G$4:$G$11)+SUMIF('10.08'!$H$4:$H$11,A145,'10.08'!$I$4:$I$11)+SUMIF('10.08'!$J$4:$J$11,A145,'10.08'!$K$4:$K$11)+SUMIF('10.08'!$L$4:$L$11,A145,'10.08'!$M$4:$M$11)+SUMIF('10.08'!$N$4:$N$11,A145,'10.08'!$O$4:$O$11)</f>
        <v>0</v>
      </c>
      <c r="R149" s="16" t="str">
        <f t="shared" si="14"/>
        <v>#N/A</v>
      </c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</row>
    <row r="150">
      <c r="A150" s="39" t="str">
        <f>'список продуктов'!A170</f>
        <v/>
      </c>
      <c r="B150" s="39" t="str">
        <f>'список продуктов'!B170</f>
        <v/>
      </c>
      <c r="C150" s="39" t="str">
        <f>'список продуктов'!C170</f>
        <v/>
      </c>
      <c r="D150" s="39" t="str">
        <f>'список продуктов'!D170</f>
        <v/>
      </c>
      <c r="E150" s="39" t="str">
        <f>'список продуктов'!E170</f>
        <v/>
      </c>
      <c r="F150" s="47" t="str">
        <f t="shared" si="15"/>
        <v>#N/A</v>
      </c>
      <c r="G150" s="47" t="str">
        <f t="shared" si="10"/>
        <v>Введите занчения</v>
      </c>
      <c r="H150" s="48" t="str">
        <f t="shared" si="12"/>
        <v>Введите занчения</v>
      </c>
      <c r="I150" s="14">
        <f>SUMIF('02.08'!$B$4:$B$11,A146,'02.08'!$C$4:$C$11)+SUMIF('02.08'!$D$4:$D$11,A146,'02.08'!$E$4:$E$11)+SUMIF('02.08'!$F$4:$F$11,A146,'02.08'!$G$4:$G$11)+SUMIF('02.08'!$H$4:$H$11,A146,'02.08'!$I$4:$I$11)+SUMIF('02.08'!$J$4:$J$11,A146,'02.08'!$K$4:$K$11)+SUMIF('02.08'!$L$4:$L$11,A146,'02.08'!$M$4:$M$11)+SUMIF('02.08'!$N$4:$N$11,A146,'02.08'!$O$4:$O$11)</f>
        <v>0</v>
      </c>
      <c r="J150" s="15">
        <f>SUMIF('03.08'!$B$4:$B$11,A146,'03.08'!$C$4:$C$11)+SUMIF('03.08'!$D$4:$D$11,A146,'03.08'!$E$4:$E$11)+SUMIF('03.08'!$F$4:$F$11,A146,'03.08'!$G$4:$G$11)+SUMIF('03.08'!$H$4:$H$11,A146,'03.08'!$I$4:$I$11)+SUMIF('03.08'!$J$4:$J$11,A146,'03.08'!$K$4:$K$11)+SUMIF('03.08'!$L$4:$L$11,A146,'03.08'!$M$4:$M$11)+SUMIF('03.08'!$N$4:$N$11,A146,'03.08'!$O$4:$O$11)</f>
        <v>0</v>
      </c>
      <c r="K150" s="15">
        <f>SUMIF('04.08'!$B$4:$B$11,A146,'04.08'!$C$4:$C$11)+SUMIF('04.08'!$D$4:$D$11,A146,'04.08'!$E$4:$E$11)+SUMIF('04.08'!$F$4:$F$11,A146,'04.08'!$G$4:$G$11)+SUMIF('04.08'!$H$4:$H$11,A146,'04.08'!$I$4:$I$11)+SUMIF('04.08'!$J$4:$J$11,A146,'04.08'!$K$4:$K$11)+SUMIF('04.08'!$L$4:$L$11,A146,'04.08'!$M$4:$M$11)+SUMIF('04.08'!$N$4:$N$11,A146,'04.08'!$O$4:$O$11)</f>
        <v>0</v>
      </c>
      <c r="L150" s="15">
        <f>SUMIF('05.08'!$B$4:$B$11,A146,'05.08'!$C$4:$C$11)+SUMIF('05.08'!$D$4:$D$11,A146,'05.08'!$E$4:$E$11)+SUMIF('05.08'!$F$4:$F$11,A146,'05.08'!$G$4:$G$11)+SUMIF('05.08'!$H$4:$H$11,A146,'05.08'!$I$4:$I$11)+SUMIF('05.08'!$J$4:$J$11,A146,'05.08'!$K$4:$K$11)+SUMIF('05.08'!$L$4:$L$11,A146,'05.08'!$M$4:$M$11)+SUMIF('05.08'!$N$4:$N$11,A146,'05.08'!$O$4:$O$11)</f>
        <v>0</v>
      </c>
      <c r="M150" s="15">
        <f>SUMIF('06.08'!$B$4:$B$11,A146,'06.08'!$C$4:$C$11)+SUMIF('06.08'!$D$4:$D$11,A146,'06.08'!$E$4:$E$11)+SUMIF('06.08'!$F$4:$F$11,A146,'06.08'!$G$4:$G$11)+SUMIF('06.08'!$H$4:$H$11,A146,'06.08'!$I$4:$I$11)+SUMIF('06.08'!$J$4:$J$11,A146,'06.08'!$K$4:$K$11)+SUMIF('06.08'!$L$4:$L$11,A146,'06.08'!$M$4:$M$11)+SUMIF('06.08'!$N$4:$N$11,A146,'06.08'!$O$4:$O$11)</f>
        <v>0</v>
      </c>
      <c r="N150" s="15">
        <f>SUMIF('07.08'!$B$4:$B$11,A146,'07.08'!$C$4:$C$11)+SUMIF('07.08'!$D$4:$D$11,A146,'07.08'!$E$4:$E$11)+SUMIF('07.08'!$F$4:$F$11,A146,'07.08'!$G$4:$G$11)+SUMIF('07.08'!$H$4:$H$11,A146,'07.08'!$I$4:$I$11)+SUMIF('07.08'!$J$4:$J$11,A146,'07.08'!$K$4:$K$11)+SUMIF('07.08'!$L$4:$L$11,A146,'07.08'!$M$4:$M$11)+SUMIF('07.08'!$N$4:$N$11,A146,'07.08'!$O$4:$O$11)</f>
        <v>0</v>
      </c>
      <c r="O150" s="15">
        <f>SUMIF('08.08'!$B$4:$B$11,A146,'08.08'!$C$4:$C$11)+SUMIF('08.08'!$D$4:$D$11,A146,'08.08'!$E$4:$E$11)+SUMIF('08.08'!$F$4:$F$11,A146,'08.08'!$G$4:$G$11)+SUMIF('08.08'!$H$4:$H$11,A146,'08.08'!$I$4:$I$11)+SUMIF('08.08'!$J$4:$J$11,A146,'08.08'!$K$4:$K$11)+SUMIF('08.08'!$L$4:$L$11,A146,'08.08'!$M$4:$M$11)+SUMIF('08.08'!$N$4:$N$11,A146,'08.08'!$O$4:$O$11)</f>
        <v>0</v>
      </c>
      <c r="P150" s="15">
        <f>SUMIF('09.08'!$B$4:$B$11,A146,'09.08'!$C$4:$C$11)+SUMIF('09.08'!$D$4:$D$11,A146,'09.08'!$E$4:$E$11)+SUMIF('09.08'!$F$4:$F$11,A146,'09.08'!$G$4:$G$11)+SUMIF('09.08'!$H$4:$H$11,A146,'09.08'!$I$4:$I$11)+SUMIF('09.08'!$J$4:$J$11,A146,'09.08'!$K$4:$K$11)+SUMIF('09.08'!$L$4:$L$11,A146,'09.08'!$M$4:$M$11)+SUMIF('09.08'!$N$4:$N$11,A146,'09.08'!$O$4:$O$11)</f>
        <v>0</v>
      </c>
      <c r="Q150" s="15">
        <f>SUMIF('10.08'!$B$4:$B$11,A146,'10.08'!$C$4:$C$11)+SUMIF('10.08'!$D$4:$D$11,A146,'10.08'!$E$4:$E$11)+SUMIF('10.08'!$F$4:$F$11,A146,'10.08'!$G$4:$G$11)+SUMIF('10.08'!$H$4:$H$11,A146,'10.08'!$I$4:$I$11)+SUMIF('10.08'!$J$4:$J$11,A146,'10.08'!$K$4:$K$11)+SUMIF('10.08'!$L$4:$L$11,A146,'10.08'!$M$4:$M$11)+SUMIF('10.08'!$N$4:$N$11,A146,'10.08'!$O$4:$O$11)</f>
        <v>0</v>
      </c>
      <c r="R150" s="16" t="str">
        <f t="shared" si="14"/>
        <v>#N/A</v>
      </c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</row>
    <row r="151">
      <c r="A151" s="39" t="str">
        <f>'список продуктов'!A171</f>
        <v/>
      </c>
      <c r="B151" s="39" t="str">
        <f>'список продуктов'!B171</f>
        <v/>
      </c>
      <c r="C151" s="39" t="str">
        <f>'список продуктов'!C171</f>
        <v/>
      </c>
      <c r="D151" s="39" t="str">
        <f>'список продуктов'!D171</f>
        <v/>
      </c>
      <c r="E151" s="39" t="str">
        <f>'список продуктов'!E171</f>
        <v/>
      </c>
      <c r="F151" s="47" t="str">
        <f t="shared" si="15"/>
        <v>#N/A</v>
      </c>
      <c r="G151" s="47" t="str">
        <f t="shared" si="10"/>
        <v>Введите занчения</v>
      </c>
      <c r="H151" s="48" t="str">
        <f t="shared" si="12"/>
        <v>Введите занчения</v>
      </c>
      <c r="I151" s="14">
        <f>SUMIF('02.08'!$B$4:$B$11,A147,'02.08'!$C$4:$C$11)+SUMIF('02.08'!$D$4:$D$11,A147,'02.08'!$E$4:$E$11)+SUMIF('02.08'!$F$4:$F$11,A147,'02.08'!$G$4:$G$11)+SUMIF('02.08'!$H$4:$H$11,A147,'02.08'!$I$4:$I$11)+SUMIF('02.08'!$J$4:$J$11,A147,'02.08'!$K$4:$K$11)+SUMIF('02.08'!$L$4:$L$11,A147,'02.08'!$M$4:$M$11)+SUMIF('02.08'!$N$4:$N$11,A147,'02.08'!$O$4:$O$11)</f>
        <v>0</v>
      </c>
      <c r="J151" s="15">
        <f>SUMIF('03.08'!$B$4:$B$11,A147,'03.08'!$C$4:$C$11)+SUMIF('03.08'!$D$4:$D$11,A147,'03.08'!$E$4:$E$11)+SUMIF('03.08'!$F$4:$F$11,A147,'03.08'!$G$4:$G$11)+SUMIF('03.08'!$H$4:$H$11,A147,'03.08'!$I$4:$I$11)+SUMIF('03.08'!$J$4:$J$11,A147,'03.08'!$K$4:$K$11)+SUMIF('03.08'!$L$4:$L$11,A147,'03.08'!$M$4:$M$11)+SUMIF('03.08'!$N$4:$N$11,A147,'03.08'!$O$4:$O$11)</f>
        <v>0</v>
      </c>
      <c r="K151" s="15">
        <f>SUMIF('04.08'!$B$4:$B$11,A147,'04.08'!$C$4:$C$11)+SUMIF('04.08'!$D$4:$D$11,A147,'04.08'!$E$4:$E$11)+SUMIF('04.08'!$F$4:$F$11,A147,'04.08'!$G$4:$G$11)+SUMIF('04.08'!$H$4:$H$11,A147,'04.08'!$I$4:$I$11)+SUMIF('04.08'!$J$4:$J$11,A147,'04.08'!$K$4:$K$11)+SUMIF('04.08'!$L$4:$L$11,A147,'04.08'!$M$4:$M$11)+SUMIF('04.08'!$N$4:$N$11,A147,'04.08'!$O$4:$O$11)</f>
        <v>0</v>
      </c>
      <c r="L151" s="15">
        <f>SUMIF('05.08'!$B$4:$B$11,A147,'05.08'!$C$4:$C$11)+SUMIF('05.08'!$D$4:$D$11,A147,'05.08'!$E$4:$E$11)+SUMIF('05.08'!$F$4:$F$11,A147,'05.08'!$G$4:$G$11)+SUMIF('05.08'!$H$4:$H$11,A147,'05.08'!$I$4:$I$11)+SUMIF('05.08'!$J$4:$J$11,A147,'05.08'!$K$4:$K$11)+SUMIF('05.08'!$L$4:$L$11,A147,'05.08'!$M$4:$M$11)+SUMIF('05.08'!$N$4:$N$11,A147,'05.08'!$O$4:$O$11)</f>
        <v>0</v>
      </c>
      <c r="M151" s="15">
        <f>SUMIF('06.08'!$B$4:$B$11,A147,'06.08'!$C$4:$C$11)+SUMIF('06.08'!$D$4:$D$11,A147,'06.08'!$E$4:$E$11)+SUMIF('06.08'!$F$4:$F$11,A147,'06.08'!$G$4:$G$11)+SUMIF('06.08'!$H$4:$H$11,A147,'06.08'!$I$4:$I$11)+SUMIF('06.08'!$J$4:$J$11,A147,'06.08'!$K$4:$K$11)+SUMIF('06.08'!$L$4:$L$11,A147,'06.08'!$M$4:$M$11)+SUMIF('06.08'!$N$4:$N$11,A147,'06.08'!$O$4:$O$11)</f>
        <v>0</v>
      </c>
      <c r="N151" s="15">
        <f>SUMIF('07.08'!$B$4:$B$11,A147,'07.08'!$C$4:$C$11)+SUMIF('07.08'!$D$4:$D$11,A147,'07.08'!$E$4:$E$11)+SUMIF('07.08'!$F$4:$F$11,A147,'07.08'!$G$4:$G$11)+SUMIF('07.08'!$H$4:$H$11,A147,'07.08'!$I$4:$I$11)+SUMIF('07.08'!$J$4:$J$11,A147,'07.08'!$K$4:$K$11)+SUMIF('07.08'!$L$4:$L$11,A147,'07.08'!$M$4:$M$11)+SUMIF('07.08'!$N$4:$N$11,A147,'07.08'!$O$4:$O$11)</f>
        <v>0</v>
      </c>
      <c r="O151" s="15">
        <f>SUMIF('08.08'!$B$4:$B$11,A147,'08.08'!$C$4:$C$11)+SUMIF('08.08'!$D$4:$D$11,A147,'08.08'!$E$4:$E$11)+SUMIF('08.08'!$F$4:$F$11,A147,'08.08'!$G$4:$G$11)+SUMIF('08.08'!$H$4:$H$11,A147,'08.08'!$I$4:$I$11)+SUMIF('08.08'!$J$4:$J$11,A147,'08.08'!$K$4:$K$11)+SUMIF('08.08'!$L$4:$L$11,A147,'08.08'!$M$4:$M$11)+SUMIF('08.08'!$N$4:$N$11,A147,'08.08'!$O$4:$O$11)</f>
        <v>0</v>
      </c>
      <c r="P151" s="15">
        <f>SUMIF('09.08'!$B$4:$B$11,A147,'09.08'!$C$4:$C$11)+SUMIF('09.08'!$D$4:$D$11,A147,'09.08'!$E$4:$E$11)+SUMIF('09.08'!$F$4:$F$11,A147,'09.08'!$G$4:$G$11)+SUMIF('09.08'!$H$4:$H$11,A147,'09.08'!$I$4:$I$11)+SUMIF('09.08'!$J$4:$J$11,A147,'09.08'!$K$4:$K$11)+SUMIF('09.08'!$L$4:$L$11,A147,'09.08'!$M$4:$M$11)+SUMIF('09.08'!$N$4:$N$11,A147,'09.08'!$O$4:$O$11)</f>
        <v>0</v>
      </c>
      <c r="Q151" s="15">
        <f>SUMIF('10.08'!$B$4:$B$11,A147,'10.08'!$C$4:$C$11)+SUMIF('10.08'!$D$4:$D$11,A147,'10.08'!$E$4:$E$11)+SUMIF('10.08'!$F$4:$F$11,A147,'10.08'!$G$4:$G$11)+SUMIF('10.08'!$H$4:$H$11,A147,'10.08'!$I$4:$I$11)+SUMIF('10.08'!$J$4:$J$11,A147,'10.08'!$K$4:$K$11)+SUMIF('10.08'!$L$4:$L$11,A147,'10.08'!$M$4:$M$11)+SUMIF('10.08'!$N$4:$N$11,A147,'10.08'!$O$4:$O$11)</f>
        <v>0</v>
      </c>
      <c r="R151" s="16" t="str">
        <f t="shared" si="14"/>
        <v>#N/A</v>
      </c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</row>
    <row r="152">
      <c r="A152" s="39" t="str">
        <f>'список продуктов'!A172</f>
        <v/>
      </c>
      <c r="B152" s="39" t="str">
        <f>'список продуктов'!B172</f>
        <v/>
      </c>
      <c r="C152" s="39" t="str">
        <f>'список продуктов'!C172</f>
        <v/>
      </c>
      <c r="D152" s="39" t="str">
        <f>'список продуктов'!D172</f>
        <v/>
      </c>
      <c r="E152" s="39" t="str">
        <f>'список продуктов'!E172</f>
        <v/>
      </c>
      <c r="F152" s="47" t="str">
        <f t="shared" si="15"/>
        <v>#N/A</v>
      </c>
      <c r="G152" s="47" t="str">
        <f t="shared" si="10"/>
        <v>Введите занчения</v>
      </c>
      <c r="H152" s="48" t="str">
        <f t="shared" si="12"/>
        <v>Введите занчения</v>
      </c>
      <c r="I152" s="14">
        <f>SUMIF('02.08'!$B$4:$B$11,A148,'02.08'!$C$4:$C$11)+SUMIF('02.08'!$D$4:$D$11,A148,'02.08'!$E$4:$E$11)+SUMIF('02.08'!$F$4:$F$11,A148,'02.08'!$G$4:$G$11)+SUMIF('02.08'!$H$4:$H$11,A148,'02.08'!$I$4:$I$11)+SUMIF('02.08'!$J$4:$J$11,A148,'02.08'!$K$4:$K$11)+SUMIF('02.08'!$L$4:$L$11,A148,'02.08'!$M$4:$M$11)+SUMIF('02.08'!$N$4:$N$11,A148,'02.08'!$O$4:$O$11)</f>
        <v>0</v>
      </c>
      <c r="J152" s="15">
        <f>SUMIF('03.08'!$B$4:$B$11,A148,'03.08'!$C$4:$C$11)+SUMIF('03.08'!$D$4:$D$11,A148,'03.08'!$E$4:$E$11)+SUMIF('03.08'!$F$4:$F$11,A148,'03.08'!$G$4:$G$11)+SUMIF('03.08'!$H$4:$H$11,A148,'03.08'!$I$4:$I$11)+SUMIF('03.08'!$J$4:$J$11,A148,'03.08'!$K$4:$K$11)+SUMIF('03.08'!$L$4:$L$11,A148,'03.08'!$M$4:$M$11)+SUMIF('03.08'!$N$4:$N$11,A148,'03.08'!$O$4:$O$11)</f>
        <v>0</v>
      </c>
      <c r="K152" s="15">
        <f>SUMIF('04.08'!$B$4:$B$11,A148,'04.08'!$C$4:$C$11)+SUMIF('04.08'!$D$4:$D$11,A148,'04.08'!$E$4:$E$11)+SUMIF('04.08'!$F$4:$F$11,A148,'04.08'!$G$4:$G$11)+SUMIF('04.08'!$H$4:$H$11,A148,'04.08'!$I$4:$I$11)+SUMIF('04.08'!$J$4:$J$11,A148,'04.08'!$K$4:$K$11)+SUMIF('04.08'!$L$4:$L$11,A148,'04.08'!$M$4:$M$11)+SUMIF('04.08'!$N$4:$N$11,A148,'04.08'!$O$4:$O$11)</f>
        <v>0</v>
      </c>
      <c r="L152" s="15">
        <f>SUMIF('05.08'!$B$4:$B$11,A148,'05.08'!$C$4:$C$11)+SUMIF('05.08'!$D$4:$D$11,A148,'05.08'!$E$4:$E$11)+SUMIF('05.08'!$F$4:$F$11,A148,'05.08'!$G$4:$G$11)+SUMIF('05.08'!$H$4:$H$11,A148,'05.08'!$I$4:$I$11)+SUMIF('05.08'!$J$4:$J$11,A148,'05.08'!$K$4:$K$11)+SUMIF('05.08'!$L$4:$L$11,A148,'05.08'!$M$4:$M$11)+SUMIF('05.08'!$N$4:$N$11,A148,'05.08'!$O$4:$O$11)</f>
        <v>0</v>
      </c>
      <c r="M152" s="15">
        <f>SUMIF('06.08'!$B$4:$B$11,A148,'06.08'!$C$4:$C$11)+SUMIF('06.08'!$D$4:$D$11,A148,'06.08'!$E$4:$E$11)+SUMIF('06.08'!$F$4:$F$11,A148,'06.08'!$G$4:$G$11)+SUMIF('06.08'!$H$4:$H$11,A148,'06.08'!$I$4:$I$11)+SUMIF('06.08'!$J$4:$J$11,A148,'06.08'!$K$4:$K$11)+SUMIF('06.08'!$L$4:$L$11,A148,'06.08'!$M$4:$M$11)+SUMIF('06.08'!$N$4:$N$11,A148,'06.08'!$O$4:$O$11)</f>
        <v>0</v>
      </c>
      <c r="N152" s="15">
        <f>SUMIF('07.08'!$B$4:$B$11,A148,'07.08'!$C$4:$C$11)+SUMIF('07.08'!$D$4:$D$11,A148,'07.08'!$E$4:$E$11)+SUMIF('07.08'!$F$4:$F$11,A148,'07.08'!$G$4:$G$11)+SUMIF('07.08'!$H$4:$H$11,A148,'07.08'!$I$4:$I$11)+SUMIF('07.08'!$J$4:$J$11,A148,'07.08'!$K$4:$K$11)+SUMIF('07.08'!$L$4:$L$11,A148,'07.08'!$M$4:$M$11)+SUMIF('07.08'!$N$4:$N$11,A148,'07.08'!$O$4:$O$11)</f>
        <v>0</v>
      </c>
      <c r="O152" s="15">
        <f>SUMIF('08.08'!$B$4:$B$11,A148,'08.08'!$C$4:$C$11)+SUMIF('08.08'!$D$4:$D$11,A148,'08.08'!$E$4:$E$11)+SUMIF('08.08'!$F$4:$F$11,A148,'08.08'!$G$4:$G$11)+SUMIF('08.08'!$H$4:$H$11,A148,'08.08'!$I$4:$I$11)+SUMIF('08.08'!$J$4:$J$11,A148,'08.08'!$K$4:$K$11)+SUMIF('08.08'!$L$4:$L$11,A148,'08.08'!$M$4:$M$11)+SUMIF('08.08'!$N$4:$N$11,A148,'08.08'!$O$4:$O$11)</f>
        <v>0</v>
      </c>
      <c r="P152" s="15">
        <f>SUMIF('09.08'!$B$4:$B$11,A148,'09.08'!$C$4:$C$11)+SUMIF('09.08'!$D$4:$D$11,A148,'09.08'!$E$4:$E$11)+SUMIF('09.08'!$F$4:$F$11,A148,'09.08'!$G$4:$G$11)+SUMIF('09.08'!$H$4:$H$11,A148,'09.08'!$I$4:$I$11)+SUMIF('09.08'!$J$4:$J$11,A148,'09.08'!$K$4:$K$11)+SUMIF('09.08'!$L$4:$L$11,A148,'09.08'!$M$4:$M$11)+SUMIF('09.08'!$N$4:$N$11,A148,'09.08'!$O$4:$O$11)</f>
        <v>0</v>
      </c>
      <c r="Q152" s="15">
        <f>SUMIF('10.08'!$B$4:$B$11,A148,'10.08'!$C$4:$C$11)+SUMIF('10.08'!$D$4:$D$11,A148,'10.08'!$E$4:$E$11)+SUMIF('10.08'!$F$4:$F$11,A148,'10.08'!$G$4:$G$11)+SUMIF('10.08'!$H$4:$H$11,A148,'10.08'!$I$4:$I$11)+SUMIF('10.08'!$J$4:$J$11,A148,'10.08'!$K$4:$K$11)+SUMIF('10.08'!$L$4:$L$11,A148,'10.08'!$M$4:$M$11)+SUMIF('10.08'!$N$4:$N$11,A148,'10.08'!$O$4:$O$11)</f>
        <v>0</v>
      </c>
      <c r="R152" s="16" t="str">
        <f t="shared" si="14"/>
        <v>#N/A</v>
      </c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</row>
    <row r="153">
      <c r="A153" s="39" t="str">
        <f>'список продуктов'!A173</f>
        <v/>
      </c>
      <c r="B153" s="39" t="str">
        <f>'список продуктов'!B173</f>
        <v/>
      </c>
      <c r="C153" s="39" t="str">
        <f>'список продуктов'!C173</f>
        <v/>
      </c>
      <c r="D153" s="39" t="str">
        <f>'список продуктов'!D173</f>
        <v/>
      </c>
      <c r="E153" s="39" t="str">
        <f>'список продуктов'!E173</f>
        <v/>
      </c>
      <c r="F153" s="47" t="str">
        <f t="shared" si="15"/>
        <v>#N/A</v>
      </c>
      <c r="G153" s="47" t="str">
        <f t="shared" si="10"/>
        <v>Введите занчения</v>
      </c>
      <c r="H153" s="48" t="str">
        <f t="shared" si="12"/>
        <v>Введите занчения</v>
      </c>
      <c r="I153" s="14">
        <f>SUMIF('02.08'!$B$4:$B$11,A149,'02.08'!$C$4:$C$11)+SUMIF('02.08'!$D$4:$D$11,A149,'02.08'!$E$4:$E$11)+SUMIF('02.08'!$F$4:$F$11,A149,'02.08'!$G$4:$G$11)+SUMIF('02.08'!$H$4:$H$11,A149,'02.08'!$I$4:$I$11)+SUMIF('02.08'!$J$4:$J$11,A149,'02.08'!$K$4:$K$11)+SUMIF('02.08'!$L$4:$L$11,A149,'02.08'!$M$4:$M$11)+SUMIF('02.08'!$N$4:$N$11,A149,'02.08'!$O$4:$O$11)</f>
        <v>0</v>
      </c>
      <c r="J153" s="15">
        <f>SUMIF('03.08'!$B$4:$B$11,A149,'03.08'!$C$4:$C$11)+SUMIF('03.08'!$D$4:$D$11,A149,'03.08'!$E$4:$E$11)+SUMIF('03.08'!$F$4:$F$11,A149,'03.08'!$G$4:$G$11)+SUMIF('03.08'!$H$4:$H$11,A149,'03.08'!$I$4:$I$11)+SUMIF('03.08'!$J$4:$J$11,A149,'03.08'!$K$4:$K$11)+SUMIF('03.08'!$L$4:$L$11,A149,'03.08'!$M$4:$M$11)+SUMIF('03.08'!$N$4:$N$11,A149,'03.08'!$O$4:$O$11)</f>
        <v>0</v>
      </c>
      <c r="K153" s="15">
        <f>SUMIF('04.08'!$B$4:$B$11,A149,'04.08'!$C$4:$C$11)+SUMIF('04.08'!$D$4:$D$11,A149,'04.08'!$E$4:$E$11)+SUMIF('04.08'!$F$4:$F$11,A149,'04.08'!$G$4:$G$11)+SUMIF('04.08'!$H$4:$H$11,A149,'04.08'!$I$4:$I$11)+SUMIF('04.08'!$J$4:$J$11,A149,'04.08'!$K$4:$K$11)+SUMIF('04.08'!$L$4:$L$11,A149,'04.08'!$M$4:$M$11)+SUMIF('04.08'!$N$4:$N$11,A149,'04.08'!$O$4:$O$11)</f>
        <v>0</v>
      </c>
      <c r="L153" s="15">
        <f>SUMIF('05.08'!$B$4:$B$11,A149,'05.08'!$C$4:$C$11)+SUMIF('05.08'!$D$4:$D$11,A149,'05.08'!$E$4:$E$11)+SUMIF('05.08'!$F$4:$F$11,A149,'05.08'!$G$4:$G$11)+SUMIF('05.08'!$H$4:$H$11,A149,'05.08'!$I$4:$I$11)+SUMIF('05.08'!$J$4:$J$11,A149,'05.08'!$K$4:$K$11)+SUMIF('05.08'!$L$4:$L$11,A149,'05.08'!$M$4:$M$11)+SUMIF('05.08'!$N$4:$N$11,A149,'05.08'!$O$4:$O$11)</f>
        <v>0</v>
      </c>
      <c r="M153" s="15">
        <f>SUMIF('06.08'!$B$4:$B$11,A149,'06.08'!$C$4:$C$11)+SUMIF('06.08'!$D$4:$D$11,A149,'06.08'!$E$4:$E$11)+SUMIF('06.08'!$F$4:$F$11,A149,'06.08'!$G$4:$G$11)+SUMIF('06.08'!$H$4:$H$11,A149,'06.08'!$I$4:$I$11)+SUMIF('06.08'!$J$4:$J$11,A149,'06.08'!$K$4:$K$11)+SUMIF('06.08'!$L$4:$L$11,A149,'06.08'!$M$4:$M$11)+SUMIF('06.08'!$N$4:$N$11,A149,'06.08'!$O$4:$O$11)</f>
        <v>0</v>
      </c>
      <c r="N153" s="15">
        <f>SUMIF('07.08'!$B$4:$B$11,A149,'07.08'!$C$4:$C$11)+SUMIF('07.08'!$D$4:$D$11,A149,'07.08'!$E$4:$E$11)+SUMIF('07.08'!$F$4:$F$11,A149,'07.08'!$G$4:$G$11)+SUMIF('07.08'!$H$4:$H$11,A149,'07.08'!$I$4:$I$11)+SUMIF('07.08'!$J$4:$J$11,A149,'07.08'!$K$4:$K$11)+SUMIF('07.08'!$L$4:$L$11,A149,'07.08'!$M$4:$M$11)+SUMIF('07.08'!$N$4:$N$11,A149,'07.08'!$O$4:$O$11)</f>
        <v>0</v>
      </c>
      <c r="O153" s="15">
        <f>SUMIF('08.08'!$B$4:$B$11,A149,'08.08'!$C$4:$C$11)+SUMIF('08.08'!$D$4:$D$11,A149,'08.08'!$E$4:$E$11)+SUMIF('08.08'!$F$4:$F$11,A149,'08.08'!$G$4:$G$11)+SUMIF('08.08'!$H$4:$H$11,A149,'08.08'!$I$4:$I$11)+SUMIF('08.08'!$J$4:$J$11,A149,'08.08'!$K$4:$K$11)+SUMIF('08.08'!$L$4:$L$11,A149,'08.08'!$M$4:$M$11)+SUMIF('08.08'!$N$4:$N$11,A149,'08.08'!$O$4:$O$11)</f>
        <v>0</v>
      </c>
      <c r="P153" s="15">
        <f>SUMIF('09.08'!$B$4:$B$11,A149,'09.08'!$C$4:$C$11)+SUMIF('09.08'!$D$4:$D$11,A149,'09.08'!$E$4:$E$11)+SUMIF('09.08'!$F$4:$F$11,A149,'09.08'!$G$4:$G$11)+SUMIF('09.08'!$H$4:$H$11,A149,'09.08'!$I$4:$I$11)+SUMIF('09.08'!$J$4:$J$11,A149,'09.08'!$K$4:$K$11)+SUMIF('09.08'!$L$4:$L$11,A149,'09.08'!$M$4:$M$11)+SUMIF('09.08'!$N$4:$N$11,A149,'09.08'!$O$4:$O$11)</f>
        <v>0</v>
      </c>
      <c r="Q153" s="15">
        <f>SUMIF('10.08'!$B$4:$B$11,A149,'10.08'!$C$4:$C$11)+SUMIF('10.08'!$D$4:$D$11,A149,'10.08'!$E$4:$E$11)+SUMIF('10.08'!$F$4:$F$11,A149,'10.08'!$G$4:$G$11)+SUMIF('10.08'!$H$4:$H$11,A149,'10.08'!$I$4:$I$11)+SUMIF('10.08'!$J$4:$J$11,A149,'10.08'!$K$4:$K$11)+SUMIF('10.08'!$L$4:$L$11,A149,'10.08'!$M$4:$M$11)+SUMIF('10.08'!$N$4:$N$11,A149,'10.08'!$O$4:$O$11)</f>
        <v>0</v>
      </c>
      <c r="R153" s="16" t="str">
        <f t="shared" si="14"/>
        <v>#N/A</v>
      </c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</row>
    <row r="154">
      <c r="A154" s="39" t="str">
        <f>'список продуктов'!A174</f>
        <v/>
      </c>
      <c r="B154" s="39" t="str">
        <f>'список продуктов'!B174</f>
        <v/>
      </c>
      <c r="C154" s="39" t="str">
        <f>'список продуктов'!C174</f>
        <v/>
      </c>
      <c r="D154" s="39" t="str">
        <f>'список продуктов'!D174</f>
        <v/>
      </c>
      <c r="E154" s="39" t="str">
        <f>'список продуктов'!E174</f>
        <v/>
      </c>
      <c r="F154" s="47" t="str">
        <f t="shared" si="15"/>
        <v>#N/A</v>
      </c>
      <c r="G154" s="47" t="str">
        <f t="shared" si="10"/>
        <v>Введите занчения</v>
      </c>
      <c r="H154" s="48" t="str">
        <f t="shared" si="12"/>
        <v>Введите занчения</v>
      </c>
      <c r="I154" s="14">
        <f>SUMIF('02.08'!$B$4:$B$11,A150,'02.08'!$C$4:$C$11)+SUMIF('02.08'!$D$4:$D$11,A150,'02.08'!$E$4:$E$11)+SUMIF('02.08'!$F$4:$F$11,A150,'02.08'!$G$4:$G$11)+SUMIF('02.08'!$H$4:$H$11,A150,'02.08'!$I$4:$I$11)+SUMIF('02.08'!$J$4:$J$11,A150,'02.08'!$K$4:$K$11)+SUMIF('02.08'!$L$4:$L$11,A150,'02.08'!$M$4:$M$11)+SUMIF('02.08'!$N$4:$N$11,A150,'02.08'!$O$4:$O$11)</f>
        <v>0</v>
      </c>
      <c r="J154" s="15">
        <f>SUMIF('03.08'!$B$4:$B$11,A150,'03.08'!$C$4:$C$11)+SUMIF('03.08'!$D$4:$D$11,A150,'03.08'!$E$4:$E$11)+SUMIF('03.08'!$F$4:$F$11,A150,'03.08'!$G$4:$G$11)+SUMIF('03.08'!$H$4:$H$11,A150,'03.08'!$I$4:$I$11)+SUMIF('03.08'!$J$4:$J$11,A150,'03.08'!$K$4:$K$11)+SUMIF('03.08'!$L$4:$L$11,A150,'03.08'!$M$4:$M$11)+SUMIF('03.08'!$N$4:$N$11,A150,'03.08'!$O$4:$O$11)</f>
        <v>0</v>
      </c>
      <c r="K154" s="15">
        <f>SUMIF('04.08'!$B$4:$B$11,A150,'04.08'!$C$4:$C$11)+SUMIF('04.08'!$D$4:$D$11,A150,'04.08'!$E$4:$E$11)+SUMIF('04.08'!$F$4:$F$11,A150,'04.08'!$G$4:$G$11)+SUMIF('04.08'!$H$4:$H$11,A150,'04.08'!$I$4:$I$11)+SUMIF('04.08'!$J$4:$J$11,A150,'04.08'!$K$4:$K$11)+SUMIF('04.08'!$L$4:$L$11,A150,'04.08'!$M$4:$M$11)+SUMIF('04.08'!$N$4:$N$11,A150,'04.08'!$O$4:$O$11)</f>
        <v>0</v>
      </c>
      <c r="L154" s="15">
        <f>SUMIF('05.08'!$B$4:$B$11,A150,'05.08'!$C$4:$C$11)+SUMIF('05.08'!$D$4:$D$11,A150,'05.08'!$E$4:$E$11)+SUMIF('05.08'!$F$4:$F$11,A150,'05.08'!$G$4:$G$11)+SUMIF('05.08'!$H$4:$H$11,A150,'05.08'!$I$4:$I$11)+SUMIF('05.08'!$J$4:$J$11,A150,'05.08'!$K$4:$K$11)+SUMIF('05.08'!$L$4:$L$11,A150,'05.08'!$M$4:$M$11)+SUMIF('05.08'!$N$4:$N$11,A150,'05.08'!$O$4:$O$11)</f>
        <v>0</v>
      </c>
      <c r="M154" s="15">
        <f>SUMIF('06.08'!$B$4:$B$11,A150,'06.08'!$C$4:$C$11)+SUMIF('06.08'!$D$4:$D$11,A150,'06.08'!$E$4:$E$11)+SUMIF('06.08'!$F$4:$F$11,A150,'06.08'!$G$4:$G$11)+SUMIF('06.08'!$H$4:$H$11,A150,'06.08'!$I$4:$I$11)+SUMIF('06.08'!$J$4:$J$11,A150,'06.08'!$K$4:$K$11)+SUMIF('06.08'!$L$4:$L$11,A150,'06.08'!$M$4:$M$11)+SUMIF('06.08'!$N$4:$N$11,A150,'06.08'!$O$4:$O$11)</f>
        <v>0</v>
      </c>
      <c r="N154" s="15">
        <f>SUMIF('07.08'!$B$4:$B$11,A150,'07.08'!$C$4:$C$11)+SUMIF('07.08'!$D$4:$D$11,A150,'07.08'!$E$4:$E$11)+SUMIF('07.08'!$F$4:$F$11,A150,'07.08'!$G$4:$G$11)+SUMIF('07.08'!$H$4:$H$11,A150,'07.08'!$I$4:$I$11)+SUMIF('07.08'!$J$4:$J$11,A150,'07.08'!$K$4:$K$11)+SUMIF('07.08'!$L$4:$L$11,A150,'07.08'!$M$4:$M$11)+SUMIF('07.08'!$N$4:$N$11,A150,'07.08'!$O$4:$O$11)</f>
        <v>0</v>
      </c>
      <c r="O154" s="15">
        <f>SUMIF('08.08'!$B$4:$B$11,A150,'08.08'!$C$4:$C$11)+SUMIF('08.08'!$D$4:$D$11,A150,'08.08'!$E$4:$E$11)+SUMIF('08.08'!$F$4:$F$11,A150,'08.08'!$G$4:$G$11)+SUMIF('08.08'!$H$4:$H$11,A150,'08.08'!$I$4:$I$11)+SUMIF('08.08'!$J$4:$J$11,A150,'08.08'!$K$4:$K$11)+SUMIF('08.08'!$L$4:$L$11,A150,'08.08'!$M$4:$M$11)+SUMIF('08.08'!$N$4:$N$11,A150,'08.08'!$O$4:$O$11)</f>
        <v>0</v>
      </c>
      <c r="P154" s="15">
        <f>SUMIF('09.08'!$B$4:$B$11,A150,'09.08'!$C$4:$C$11)+SUMIF('09.08'!$D$4:$D$11,A150,'09.08'!$E$4:$E$11)+SUMIF('09.08'!$F$4:$F$11,A150,'09.08'!$G$4:$G$11)+SUMIF('09.08'!$H$4:$H$11,A150,'09.08'!$I$4:$I$11)+SUMIF('09.08'!$J$4:$J$11,A150,'09.08'!$K$4:$K$11)+SUMIF('09.08'!$L$4:$L$11,A150,'09.08'!$M$4:$M$11)+SUMIF('09.08'!$N$4:$N$11,A150,'09.08'!$O$4:$O$11)</f>
        <v>0</v>
      </c>
      <c r="Q154" s="15">
        <f>SUMIF('10.08'!$B$4:$B$11,A150,'10.08'!$C$4:$C$11)+SUMIF('10.08'!$D$4:$D$11,A150,'10.08'!$E$4:$E$11)+SUMIF('10.08'!$F$4:$F$11,A150,'10.08'!$G$4:$G$11)+SUMIF('10.08'!$H$4:$H$11,A150,'10.08'!$I$4:$I$11)+SUMIF('10.08'!$J$4:$J$11,A150,'10.08'!$K$4:$K$11)+SUMIF('10.08'!$L$4:$L$11,A150,'10.08'!$M$4:$M$11)+SUMIF('10.08'!$N$4:$N$11,A150,'10.08'!$O$4:$O$11)</f>
        <v>0</v>
      </c>
      <c r="R154" s="16" t="str">
        <f t="shared" si="14"/>
        <v>#N/A</v>
      </c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</row>
    <row r="155">
      <c r="A155" s="39" t="str">
        <f>'список продуктов'!A175</f>
        <v/>
      </c>
      <c r="B155" s="39" t="str">
        <f>'список продуктов'!B175</f>
        <v/>
      </c>
      <c r="C155" s="39" t="str">
        <f>'список продуктов'!C175</f>
        <v/>
      </c>
      <c r="D155" s="39" t="str">
        <f>'список продуктов'!D175</f>
        <v/>
      </c>
      <c r="E155" s="39" t="str">
        <f>'список продуктов'!E175</f>
        <v/>
      </c>
      <c r="F155" s="47" t="str">
        <f t="shared" si="15"/>
        <v>#N/A</v>
      </c>
      <c r="G155" s="47" t="str">
        <f t="shared" si="10"/>
        <v>Введите занчения</v>
      </c>
      <c r="H155" s="48" t="str">
        <f t="shared" si="12"/>
        <v>Введите занчения</v>
      </c>
      <c r="I155" s="14">
        <f>SUMIF('02.08'!$B$4:$B$11,A151,'02.08'!$C$4:$C$11)+SUMIF('02.08'!$D$4:$D$11,A151,'02.08'!$E$4:$E$11)+SUMIF('02.08'!$F$4:$F$11,A151,'02.08'!$G$4:$G$11)+SUMIF('02.08'!$H$4:$H$11,A151,'02.08'!$I$4:$I$11)+SUMIF('02.08'!$J$4:$J$11,A151,'02.08'!$K$4:$K$11)+SUMIF('02.08'!$L$4:$L$11,A151,'02.08'!$M$4:$M$11)+SUMIF('02.08'!$N$4:$N$11,A151,'02.08'!$O$4:$O$11)</f>
        <v>0</v>
      </c>
      <c r="J155" s="15">
        <f>SUMIF('03.08'!$B$4:$B$11,A151,'03.08'!$C$4:$C$11)+SUMIF('03.08'!$D$4:$D$11,A151,'03.08'!$E$4:$E$11)+SUMIF('03.08'!$F$4:$F$11,A151,'03.08'!$G$4:$G$11)+SUMIF('03.08'!$H$4:$H$11,A151,'03.08'!$I$4:$I$11)+SUMIF('03.08'!$J$4:$J$11,A151,'03.08'!$K$4:$K$11)+SUMIF('03.08'!$L$4:$L$11,A151,'03.08'!$M$4:$M$11)+SUMIF('03.08'!$N$4:$N$11,A151,'03.08'!$O$4:$O$11)</f>
        <v>0</v>
      </c>
      <c r="K155" s="15">
        <f>SUMIF('04.08'!$B$4:$B$11,A151,'04.08'!$C$4:$C$11)+SUMIF('04.08'!$D$4:$D$11,A151,'04.08'!$E$4:$E$11)+SUMIF('04.08'!$F$4:$F$11,A151,'04.08'!$G$4:$G$11)+SUMIF('04.08'!$H$4:$H$11,A151,'04.08'!$I$4:$I$11)+SUMIF('04.08'!$J$4:$J$11,A151,'04.08'!$K$4:$K$11)+SUMIF('04.08'!$L$4:$L$11,A151,'04.08'!$M$4:$M$11)+SUMIF('04.08'!$N$4:$N$11,A151,'04.08'!$O$4:$O$11)</f>
        <v>0</v>
      </c>
      <c r="L155" s="15">
        <f>SUMIF('05.08'!$B$4:$B$11,A151,'05.08'!$C$4:$C$11)+SUMIF('05.08'!$D$4:$D$11,A151,'05.08'!$E$4:$E$11)+SUMIF('05.08'!$F$4:$F$11,A151,'05.08'!$G$4:$G$11)+SUMIF('05.08'!$H$4:$H$11,A151,'05.08'!$I$4:$I$11)+SUMIF('05.08'!$J$4:$J$11,A151,'05.08'!$K$4:$K$11)+SUMIF('05.08'!$L$4:$L$11,A151,'05.08'!$M$4:$M$11)+SUMIF('05.08'!$N$4:$N$11,A151,'05.08'!$O$4:$O$11)</f>
        <v>0</v>
      </c>
      <c r="M155" s="15">
        <f>SUMIF('06.08'!$B$4:$B$11,A151,'06.08'!$C$4:$C$11)+SUMIF('06.08'!$D$4:$D$11,A151,'06.08'!$E$4:$E$11)+SUMIF('06.08'!$F$4:$F$11,A151,'06.08'!$G$4:$G$11)+SUMIF('06.08'!$H$4:$H$11,A151,'06.08'!$I$4:$I$11)+SUMIF('06.08'!$J$4:$J$11,A151,'06.08'!$K$4:$K$11)+SUMIF('06.08'!$L$4:$L$11,A151,'06.08'!$M$4:$M$11)+SUMIF('06.08'!$N$4:$N$11,A151,'06.08'!$O$4:$O$11)</f>
        <v>0</v>
      </c>
      <c r="N155" s="15">
        <f>SUMIF('07.08'!$B$4:$B$11,A151,'07.08'!$C$4:$C$11)+SUMIF('07.08'!$D$4:$D$11,A151,'07.08'!$E$4:$E$11)+SUMIF('07.08'!$F$4:$F$11,A151,'07.08'!$G$4:$G$11)+SUMIF('07.08'!$H$4:$H$11,A151,'07.08'!$I$4:$I$11)+SUMIF('07.08'!$J$4:$J$11,A151,'07.08'!$K$4:$K$11)+SUMIF('07.08'!$L$4:$L$11,A151,'07.08'!$M$4:$M$11)+SUMIF('07.08'!$N$4:$N$11,A151,'07.08'!$O$4:$O$11)</f>
        <v>0</v>
      </c>
      <c r="O155" s="15">
        <f>SUMIF('08.08'!$B$4:$B$11,A151,'08.08'!$C$4:$C$11)+SUMIF('08.08'!$D$4:$D$11,A151,'08.08'!$E$4:$E$11)+SUMIF('08.08'!$F$4:$F$11,A151,'08.08'!$G$4:$G$11)+SUMIF('08.08'!$H$4:$H$11,A151,'08.08'!$I$4:$I$11)+SUMIF('08.08'!$J$4:$J$11,A151,'08.08'!$K$4:$K$11)+SUMIF('08.08'!$L$4:$L$11,A151,'08.08'!$M$4:$M$11)+SUMIF('08.08'!$N$4:$N$11,A151,'08.08'!$O$4:$O$11)</f>
        <v>0</v>
      </c>
      <c r="P155" s="15">
        <f>SUMIF('09.08'!$B$4:$B$11,A151,'09.08'!$C$4:$C$11)+SUMIF('09.08'!$D$4:$D$11,A151,'09.08'!$E$4:$E$11)+SUMIF('09.08'!$F$4:$F$11,A151,'09.08'!$G$4:$G$11)+SUMIF('09.08'!$H$4:$H$11,A151,'09.08'!$I$4:$I$11)+SUMIF('09.08'!$J$4:$J$11,A151,'09.08'!$K$4:$K$11)+SUMIF('09.08'!$L$4:$L$11,A151,'09.08'!$M$4:$M$11)+SUMIF('09.08'!$N$4:$N$11,A151,'09.08'!$O$4:$O$11)</f>
        <v>0</v>
      </c>
      <c r="Q155" s="15">
        <f>SUMIF('10.08'!$B$4:$B$11,A151,'10.08'!$C$4:$C$11)+SUMIF('10.08'!$D$4:$D$11,A151,'10.08'!$E$4:$E$11)+SUMIF('10.08'!$F$4:$F$11,A151,'10.08'!$G$4:$G$11)+SUMIF('10.08'!$H$4:$H$11,A151,'10.08'!$I$4:$I$11)+SUMIF('10.08'!$J$4:$J$11,A151,'10.08'!$K$4:$K$11)+SUMIF('10.08'!$L$4:$L$11,A151,'10.08'!$M$4:$M$11)+SUMIF('10.08'!$N$4:$N$11,A151,'10.08'!$O$4:$O$11)</f>
        <v>0</v>
      </c>
      <c r="R155" s="16" t="str">
        <f t="shared" si="14"/>
        <v>#N/A</v>
      </c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</row>
    <row r="156">
      <c r="A156" s="39" t="str">
        <f>'список продуктов'!A176</f>
        <v/>
      </c>
      <c r="B156" s="39" t="str">
        <f>'список продуктов'!B176</f>
        <v/>
      </c>
      <c r="C156" s="39" t="str">
        <f>'список продуктов'!C176</f>
        <v/>
      </c>
      <c r="D156" s="39" t="str">
        <f>'список продуктов'!D176</f>
        <v/>
      </c>
      <c r="E156" s="39" t="str">
        <f>'список продуктов'!E176</f>
        <v/>
      </c>
      <c r="F156" s="47" t="str">
        <f t="shared" si="15"/>
        <v>#N/A</v>
      </c>
      <c r="G156" s="47" t="str">
        <f t="shared" si="10"/>
        <v>Введите занчения</v>
      </c>
      <c r="H156" s="48" t="str">
        <f t="shared" si="12"/>
        <v>Введите занчения</v>
      </c>
      <c r="I156" s="14">
        <f>SUMIF('02.08'!$B$4:$B$11,A152,'02.08'!$C$4:$C$11)+SUMIF('02.08'!$D$4:$D$11,A152,'02.08'!$E$4:$E$11)+SUMIF('02.08'!$F$4:$F$11,A152,'02.08'!$G$4:$G$11)+SUMIF('02.08'!$H$4:$H$11,A152,'02.08'!$I$4:$I$11)+SUMIF('02.08'!$J$4:$J$11,A152,'02.08'!$K$4:$K$11)+SUMIF('02.08'!$L$4:$L$11,A152,'02.08'!$M$4:$M$11)+SUMIF('02.08'!$N$4:$N$11,A152,'02.08'!$O$4:$O$11)</f>
        <v>0</v>
      </c>
      <c r="J156" s="15">
        <f>SUMIF('03.08'!$B$4:$B$11,A152,'03.08'!$C$4:$C$11)+SUMIF('03.08'!$D$4:$D$11,A152,'03.08'!$E$4:$E$11)+SUMIF('03.08'!$F$4:$F$11,A152,'03.08'!$G$4:$G$11)+SUMIF('03.08'!$H$4:$H$11,A152,'03.08'!$I$4:$I$11)+SUMIF('03.08'!$J$4:$J$11,A152,'03.08'!$K$4:$K$11)+SUMIF('03.08'!$L$4:$L$11,A152,'03.08'!$M$4:$M$11)+SUMIF('03.08'!$N$4:$N$11,A152,'03.08'!$O$4:$O$11)</f>
        <v>0</v>
      </c>
      <c r="K156" s="15">
        <f>SUMIF('04.08'!$B$4:$B$11,A152,'04.08'!$C$4:$C$11)+SUMIF('04.08'!$D$4:$D$11,A152,'04.08'!$E$4:$E$11)+SUMIF('04.08'!$F$4:$F$11,A152,'04.08'!$G$4:$G$11)+SUMIF('04.08'!$H$4:$H$11,A152,'04.08'!$I$4:$I$11)+SUMIF('04.08'!$J$4:$J$11,A152,'04.08'!$K$4:$K$11)+SUMIF('04.08'!$L$4:$L$11,A152,'04.08'!$M$4:$M$11)+SUMIF('04.08'!$N$4:$N$11,A152,'04.08'!$O$4:$O$11)</f>
        <v>0</v>
      </c>
      <c r="L156" s="15">
        <f>SUMIF('05.08'!$B$4:$B$11,A152,'05.08'!$C$4:$C$11)+SUMIF('05.08'!$D$4:$D$11,A152,'05.08'!$E$4:$E$11)+SUMIF('05.08'!$F$4:$F$11,A152,'05.08'!$G$4:$G$11)+SUMIF('05.08'!$H$4:$H$11,A152,'05.08'!$I$4:$I$11)+SUMIF('05.08'!$J$4:$J$11,A152,'05.08'!$K$4:$K$11)+SUMIF('05.08'!$L$4:$L$11,A152,'05.08'!$M$4:$M$11)+SUMIF('05.08'!$N$4:$N$11,A152,'05.08'!$O$4:$O$11)</f>
        <v>0</v>
      </c>
      <c r="M156" s="15">
        <f>SUMIF('06.08'!$B$4:$B$11,A152,'06.08'!$C$4:$C$11)+SUMIF('06.08'!$D$4:$D$11,A152,'06.08'!$E$4:$E$11)+SUMIF('06.08'!$F$4:$F$11,A152,'06.08'!$G$4:$G$11)+SUMIF('06.08'!$H$4:$H$11,A152,'06.08'!$I$4:$I$11)+SUMIF('06.08'!$J$4:$J$11,A152,'06.08'!$K$4:$K$11)+SUMIF('06.08'!$L$4:$L$11,A152,'06.08'!$M$4:$M$11)+SUMIF('06.08'!$N$4:$N$11,A152,'06.08'!$O$4:$O$11)</f>
        <v>0</v>
      </c>
      <c r="N156" s="15">
        <f>SUMIF('07.08'!$B$4:$B$11,A152,'07.08'!$C$4:$C$11)+SUMIF('07.08'!$D$4:$D$11,A152,'07.08'!$E$4:$E$11)+SUMIF('07.08'!$F$4:$F$11,A152,'07.08'!$G$4:$G$11)+SUMIF('07.08'!$H$4:$H$11,A152,'07.08'!$I$4:$I$11)+SUMIF('07.08'!$J$4:$J$11,A152,'07.08'!$K$4:$K$11)+SUMIF('07.08'!$L$4:$L$11,A152,'07.08'!$M$4:$M$11)+SUMIF('07.08'!$N$4:$N$11,A152,'07.08'!$O$4:$O$11)</f>
        <v>0</v>
      </c>
      <c r="O156" s="15">
        <f>SUMIF('08.08'!$B$4:$B$11,A152,'08.08'!$C$4:$C$11)+SUMIF('08.08'!$D$4:$D$11,A152,'08.08'!$E$4:$E$11)+SUMIF('08.08'!$F$4:$F$11,A152,'08.08'!$G$4:$G$11)+SUMIF('08.08'!$H$4:$H$11,A152,'08.08'!$I$4:$I$11)+SUMIF('08.08'!$J$4:$J$11,A152,'08.08'!$K$4:$K$11)+SUMIF('08.08'!$L$4:$L$11,A152,'08.08'!$M$4:$M$11)+SUMIF('08.08'!$N$4:$N$11,A152,'08.08'!$O$4:$O$11)</f>
        <v>0</v>
      </c>
      <c r="P156" s="15">
        <f>SUMIF('09.08'!$B$4:$B$11,A152,'09.08'!$C$4:$C$11)+SUMIF('09.08'!$D$4:$D$11,A152,'09.08'!$E$4:$E$11)+SUMIF('09.08'!$F$4:$F$11,A152,'09.08'!$G$4:$G$11)+SUMIF('09.08'!$H$4:$H$11,A152,'09.08'!$I$4:$I$11)+SUMIF('09.08'!$J$4:$J$11,A152,'09.08'!$K$4:$K$11)+SUMIF('09.08'!$L$4:$L$11,A152,'09.08'!$M$4:$M$11)+SUMIF('09.08'!$N$4:$N$11,A152,'09.08'!$O$4:$O$11)</f>
        <v>0</v>
      </c>
      <c r="Q156" s="15">
        <f>SUMIF('10.08'!$B$4:$B$11,A152,'10.08'!$C$4:$C$11)+SUMIF('10.08'!$D$4:$D$11,A152,'10.08'!$E$4:$E$11)+SUMIF('10.08'!$F$4:$F$11,A152,'10.08'!$G$4:$G$11)+SUMIF('10.08'!$H$4:$H$11,A152,'10.08'!$I$4:$I$11)+SUMIF('10.08'!$J$4:$J$11,A152,'10.08'!$K$4:$K$11)+SUMIF('10.08'!$L$4:$L$11,A152,'10.08'!$M$4:$M$11)+SUMIF('10.08'!$N$4:$N$11,A152,'10.08'!$O$4:$O$11)</f>
        <v>0</v>
      </c>
      <c r="R156" s="16" t="str">
        <f t="shared" si="14"/>
        <v>#N/A</v>
      </c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</row>
    <row r="157">
      <c r="A157" s="39" t="str">
        <f>'список продуктов'!A177</f>
        <v/>
      </c>
      <c r="B157" s="39" t="str">
        <f>'список продуктов'!B177</f>
        <v/>
      </c>
      <c r="C157" s="39" t="str">
        <f>'список продуктов'!C177</f>
        <v/>
      </c>
      <c r="D157" s="39" t="str">
        <f>'список продуктов'!D177</f>
        <v/>
      </c>
      <c r="E157" s="39" t="str">
        <f>'список продуктов'!E177</f>
        <v/>
      </c>
      <c r="F157" s="47" t="str">
        <f t="shared" si="15"/>
        <v>#N/A</v>
      </c>
      <c r="G157" s="47" t="str">
        <f t="shared" si="10"/>
        <v>Введите занчения</v>
      </c>
      <c r="H157" s="48" t="str">
        <f t="shared" si="12"/>
        <v>Введите занчения</v>
      </c>
      <c r="I157" s="14">
        <f>SUMIF('02.08'!$B$4:$B$11,A153,'02.08'!$C$4:$C$11)+SUMIF('02.08'!$D$4:$D$11,A153,'02.08'!$E$4:$E$11)+SUMIF('02.08'!$F$4:$F$11,A153,'02.08'!$G$4:$G$11)+SUMIF('02.08'!$H$4:$H$11,A153,'02.08'!$I$4:$I$11)+SUMIF('02.08'!$J$4:$J$11,A153,'02.08'!$K$4:$K$11)+SUMIF('02.08'!$L$4:$L$11,A153,'02.08'!$M$4:$M$11)+SUMIF('02.08'!$N$4:$N$11,A153,'02.08'!$O$4:$O$11)</f>
        <v>0</v>
      </c>
      <c r="J157" s="15">
        <f>SUMIF('03.08'!$B$4:$B$11,A153,'03.08'!$C$4:$C$11)+SUMIF('03.08'!$D$4:$D$11,A153,'03.08'!$E$4:$E$11)+SUMIF('03.08'!$F$4:$F$11,A153,'03.08'!$G$4:$G$11)+SUMIF('03.08'!$H$4:$H$11,A153,'03.08'!$I$4:$I$11)+SUMIF('03.08'!$J$4:$J$11,A153,'03.08'!$K$4:$K$11)+SUMIF('03.08'!$L$4:$L$11,A153,'03.08'!$M$4:$M$11)+SUMIF('03.08'!$N$4:$N$11,A153,'03.08'!$O$4:$O$11)</f>
        <v>0</v>
      </c>
      <c r="K157" s="15">
        <f>SUMIF('04.08'!$B$4:$B$11,A153,'04.08'!$C$4:$C$11)+SUMIF('04.08'!$D$4:$D$11,A153,'04.08'!$E$4:$E$11)+SUMIF('04.08'!$F$4:$F$11,A153,'04.08'!$G$4:$G$11)+SUMIF('04.08'!$H$4:$H$11,A153,'04.08'!$I$4:$I$11)+SUMIF('04.08'!$J$4:$J$11,A153,'04.08'!$K$4:$K$11)+SUMIF('04.08'!$L$4:$L$11,A153,'04.08'!$M$4:$M$11)+SUMIF('04.08'!$N$4:$N$11,A153,'04.08'!$O$4:$O$11)</f>
        <v>0</v>
      </c>
      <c r="L157" s="15">
        <f>SUMIF('05.08'!$B$4:$B$11,A153,'05.08'!$C$4:$C$11)+SUMIF('05.08'!$D$4:$D$11,A153,'05.08'!$E$4:$E$11)+SUMIF('05.08'!$F$4:$F$11,A153,'05.08'!$G$4:$G$11)+SUMIF('05.08'!$H$4:$H$11,A153,'05.08'!$I$4:$I$11)+SUMIF('05.08'!$J$4:$J$11,A153,'05.08'!$K$4:$K$11)+SUMIF('05.08'!$L$4:$L$11,A153,'05.08'!$M$4:$M$11)+SUMIF('05.08'!$N$4:$N$11,A153,'05.08'!$O$4:$O$11)</f>
        <v>0</v>
      </c>
      <c r="M157" s="15">
        <f>SUMIF('06.08'!$B$4:$B$11,A153,'06.08'!$C$4:$C$11)+SUMIF('06.08'!$D$4:$D$11,A153,'06.08'!$E$4:$E$11)+SUMIF('06.08'!$F$4:$F$11,A153,'06.08'!$G$4:$G$11)+SUMIF('06.08'!$H$4:$H$11,A153,'06.08'!$I$4:$I$11)+SUMIF('06.08'!$J$4:$J$11,A153,'06.08'!$K$4:$K$11)+SUMIF('06.08'!$L$4:$L$11,A153,'06.08'!$M$4:$M$11)+SUMIF('06.08'!$N$4:$N$11,A153,'06.08'!$O$4:$O$11)</f>
        <v>0</v>
      </c>
      <c r="N157" s="15">
        <f>SUMIF('07.08'!$B$4:$B$11,A153,'07.08'!$C$4:$C$11)+SUMIF('07.08'!$D$4:$D$11,A153,'07.08'!$E$4:$E$11)+SUMIF('07.08'!$F$4:$F$11,A153,'07.08'!$G$4:$G$11)+SUMIF('07.08'!$H$4:$H$11,A153,'07.08'!$I$4:$I$11)+SUMIF('07.08'!$J$4:$J$11,A153,'07.08'!$K$4:$K$11)+SUMIF('07.08'!$L$4:$L$11,A153,'07.08'!$M$4:$M$11)+SUMIF('07.08'!$N$4:$N$11,A153,'07.08'!$O$4:$O$11)</f>
        <v>0</v>
      </c>
      <c r="O157" s="15">
        <f>SUMIF('08.08'!$B$4:$B$11,A153,'08.08'!$C$4:$C$11)+SUMIF('08.08'!$D$4:$D$11,A153,'08.08'!$E$4:$E$11)+SUMIF('08.08'!$F$4:$F$11,A153,'08.08'!$G$4:$G$11)+SUMIF('08.08'!$H$4:$H$11,A153,'08.08'!$I$4:$I$11)+SUMIF('08.08'!$J$4:$J$11,A153,'08.08'!$K$4:$K$11)+SUMIF('08.08'!$L$4:$L$11,A153,'08.08'!$M$4:$M$11)+SUMIF('08.08'!$N$4:$N$11,A153,'08.08'!$O$4:$O$11)</f>
        <v>0</v>
      </c>
      <c r="P157" s="15">
        <f>SUMIF('09.08'!$B$4:$B$11,A153,'09.08'!$C$4:$C$11)+SUMIF('09.08'!$D$4:$D$11,A153,'09.08'!$E$4:$E$11)+SUMIF('09.08'!$F$4:$F$11,A153,'09.08'!$G$4:$G$11)+SUMIF('09.08'!$H$4:$H$11,A153,'09.08'!$I$4:$I$11)+SUMIF('09.08'!$J$4:$J$11,A153,'09.08'!$K$4:$K$11)+SUMIF('09.08'!$L$4:$L$11,A153,'09.08'!$M$4:$M$11)+SUMIF('09.08'!$N$4:$N$11,A153,'09.08'!$O$4:$O$11)</f>
        <v>0</v>
      </c>
      <c r="Q157" s="15">
        <f>SUMIF('10.08'!$B$4:$B$11,A153,'10.08'!$C$4:$C$11)+SUMIF('10.08'!$D$4:$D$11,A153,'10.08'!$E$4:$E$11)+SUMIF('10.08'!$F$4:$F$11,A153,'10.08'!$G$4:$G$11)+SUMIF('10.08'!$H$4:$H$11,A153,'10.08'!$I$4:$I$11)+SUMIF('10.08'!$J$4:$J$11,A153,'10.08'!$K$4:$K$11)+SUMIF('10.08'!$L$4:$L$11,A153,'10.08'!$M$4:$M$11)+SUMIF('10.08'!$N$4:$N$11,A153,'10.08'!$O$4:$O$11)</f>
        <v>0</v>
      </c>
      <c r="R157" s="16" t="str">
        <f t="shared" si="14"/>
        <v>#N/A</v>
      </c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</row>
    <row r="158">
      <c r="A158" s="39" t="str">
        <f>'список продуктов'!A178</f>
        <v/>
      </c>
      <c r="B158" s="39" t="str">
        <f>'список продуктов'!B178</f>
        <v/>
      </c>
      <c r="C158" s="39" t="str">
        <f>'список продуктов'!C178</f>
        <v/>
      </c>
      <c r="D158" s="39" t="str">
        <f>'список продуктов'!D178</f>
        <v/>
      </c>
      <c r="E158" s="39" t="str">
        <f>'список продуктов'!E178</f>
        <v/>
      </c>
      <c r="F158" s="47" t="str">
        <f t="shared" si="15"/>
        <v>#N/A</v>
      </c>
      <c r="G158" s="47" t="str">
        <f t="shared" si="10"/>
        <v>Введите занчения</v>
      </c>
      <c r="H158" s="48" t="str">
        <f t="shared" si="12"/>
        <v>Введите занчения</v>
      </c>
      <c r="I158" s="14">
        <f>SUMIF('02.08'!$B$4:$B$11,A154,'02.08'!$C$4:$C$11)+SUMIF('02.08'!$D$4:$D$11,A154,'02.08'!$E$4:$E$11)+SUMIF('02.08'!$F$4:$F$11,A154,'02.08'!$G$4:$G$11)+SUMIF('02.08'!$H$4:$H$11,A154,'02.08'!$I$4:$I$11)+SUMIF('02.08'!$J$4:$J$11,A154,'02.08'!$K$4:$K$11)+SUMIF('02.08'!$L$4:$L$11,A154,'02.08'!$M$4:$M$11)+SUMIF('02.08'!$N$4:$N$11,A154,'02.08'!$O$4:$O$11)</f>
        <v>0</v>
      </c>
      <c r="J158" s="15">
        <f>SUMIF('03.08'!$B$4:$B$11,A154,'03.08'!$C$4:$C$11)+SUMIF('03.08'!$D$4:$D$11,A154,'03.08'!$E$4:$E$11)+SUMIF('03.08'!$F$4:$F$11,A154,'03.08'!$G$4:$G$11)+SUMIF('03.08'!$H$4:$H$11,A154,'03.08'!$I$4:$I$11)+SUMIF('03.08'!$J$4:$J$11,A154,'03.08'!$K$4:$K$11)+SUMIF('03.08'!$L$4:$L$11,A154,'03.08'!$M$4:$M$11)+SUMIF('03.08'!$N$4:$N$11,A154,'03.08'!$O$4:$O$11)</f>
        <v>0</v>
      </c>
      <c r="K158" s="15">
        <f>SUMIF('04.08'!$B$4:$B$11,A154,'04.08'!$C$4:$C$11)+SUMIF('04.08'!$D$4:$D$11,A154,'04.08'!$E$4:$E$11)+SUMIF('04.08'!$F$4:$F$11,A154,'04.08'!$G$4:$G$11)+SUMIF('04.08'!$H$4:$H$11,A154,'04.08'!$I$4:$I$11)+SUMIF('04.08'!$J$4:$J$11,A154,'04.08'!$K$4:$K$11)+SUMIF('04.08'!$L$4:$L$11,A154,'04.08'!$M$4:$M$11)+SUMIF('04.08'!$N$4:$N$11,A154,'04.08'!$O$4:$O$11)</f>
        <v>0</v>
      </c>
      <c r="L158" s="15">
        <f>SUMIF('05.08'!$B$4:$B$11,A154,'05.08'!$C$4:$C$11)+SUMIF('05.08'!$D$4:$D$11,A154,'05.08'!$E$4:$E$11)+SUMIF('05.08'!$F$4:$F$11,A154,'05.08'!$G$4:$G$11)+SUMIF('05.08'!$H$4:$H$11,A154,'05.08'!$I$4:$I$11)+SUMIF('05.08'!$J$4:$J$11,A154,'05.08'!$K$4:$K$11)+SUMIF('05.08'!$L$4:$L$11,A154,'05.08'!$M$4:$M$11)+SUMIF('05.08'!$N$4:$N$11,A154,'05.08'!$O$4:$O$11)</f>
        <v>0</v>
      </c>
      <c r="M158" s="15">
        <f>SUMIF('06.08'!$B$4:$B$11,A154,'06.08'!$C$4:$C$11)+SUMIF('06.08'!$D$4:$D$11,A154,'06.08'!$E$4:$E$11)+SUMIF('06.08'!$F$4:$F$11,A154,'06.08'!$G$4:$G$11)+SUMIF('06.08'!$H$4:$H$11,A154,'06.08'!$I$4:$I$11)+SUMIF('06.08'!$J$4:$J$11,A154,'06.08'!$K$4:$K$11)+SUMIF('06.08'!$L$4:$L$11,A154,'06.08'!$M$4:$M$11)+SUMIF('06.08'!$N$4:$N$11,A154,'06.08'!$O$4:$O$11)</f>
        <v>0</v>
      </c>
      <c r="N158" s="15">
        <f>SUMIF('07.08'!$B$4:$B$11,A154,'07.08'!$C$4:$C$11)+SUMIF('07.08'!$D$4:$D$11,A154,'07.08'!$E$4:$E$11)+SUMIF('07.08'!$F$4:$F$11,A154,'07.08'!$G$4:$G$11)+SUMIF('07.08'!$H$4:$H$11,A154,'07.08'!$I$4:$I$11)+SUMIF('07.08'!$J$4:$J$11,A154,'07.08'!$K$4:$K$11)+SUMIF('07.08'!$L$4:$L$11,A154,'07.08'!$M$4:$M$11)+SUMIF('07.08'!$N$4:$N$11,A154,'07.08'!$O$4:$O$11)</f>
        <v>0</v>
      </c>
      <c r="O158" s="15">
        <f>SUMIF('08.08'!$B$4:$B$11,A154,'08.08'!$C$4:$C$11)+SUMIF('08.08'!$D$4:$D$11,A154,'08.08'!$E$4:$E$11)+SUMIF('08.08'!$F$4:$F$11,A154,'08.08'!$G$4:$G$11)+SUMIF('08.08'!$H$4:$H$11,A154,'08.08'!$I$4:$I$11)+SUMIF('08.08'!$J$4:$J$11,A154,'08.08'!$K$4:$K$11)+SUMIF('08.08'!$L$4:$L$11,A154,'08.08'!$M$4:$M$11)+SUMIF('08.08'!$N$4:$N$11,A154,'08.08'!$O$4:$O$11)</f>
        <v>0</v>
      </c>
      <c r="P158" s="15">
        <f>SUMIF('09.08'!$B$4:$B$11,A154,'09.08'!$C$4:$C$11)+SUMIF('09.08'!$D$4:$D$11,A154,'09.08'!$E$4:$E$11)+SUMIF('09.08'!$F$4:$F$11,A154,'09.08'!$G$4:$G$11)+SUMIF('09.08'!$H$4:$H$11,A154,'09.08'!$I$4:$I$11)+SUMIF('09.08'!$J$4:$J$11,A154,'09.08'!$K$4:$K$11)+SUMIF('09.08'!$L$4:$L$11,A154,'09.08'!$M$4:$M$11)+SUMIF('09.08'!$N$4:$N$11,A154,'09.08'!$O$4:$O$11)</f>
        <v>0</v>
      </c>
      <c r="Q158" s="15">
        <f>SUMIF('10.08'!$B$4:$B$11,A154,'10.08'!$C$4:$C$11)+SUMIF('10.08'!$D$4:$D$11,A154,'10.08'!$E$4:$E$11)+SUMIF('10.08'!$F$4:$F$11,A154,'10.08'!$G$4:$G$11)+SUMIF('10.08'!$H$4:$H$11,A154,'10.08'!$I$4:$I$11)+SUMIF('10.08'!$J$4:$J$11,A154,'10.08'!$K$4:$K$11)+SUMIF('10.08'!$L$4:$L$11,A154,'10.08'!$M$4:$M$11)+SUMIF('10.08'!$N$4:$N$11,A154,'10.08'!$O$4:$O$11)</f>
        <v>0</v>
      </c>
      <c r="R158" s="16" t="str">
        <f t="shared" si="14"/>
        <v>#N/A</v>
      </c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>
      <c r="A159" s="39" t="str">
        <f>'список продуктов'!A179</f>
        <v/>
      </c>
      <c r="B159" s="39" t="str">
        <f>'список продуктов'!B179</f>
        <v/>
      </c>
      <c r="C159" s="39" t="str">
        <f>'список продуктов'!C179</f>
        <v/>
      </c>
      <c r="D159" s="39" t="str">
        <f>'список продуктов'!D179</f>
        <v/>
      </c>
      <c r="E159" s="39" t="str">
        <f>'список продуктов'!E179</f>
        <v/>
      </c>
      <c r="F159" s="47" t="str">
        <f t="shared" si="15"/>
        <v>#N/A</v>
      </c>
      <c r="G159" s="47" t="str">
        <f t="shared" si="10"/>
        <v>Введите занчения</v>
      </c>
      <c r="H159" s="48" t="str">
        <f t="shared" si="12"/>
        <v>Введите занчения</v>
      </c>
      <c r="I159" s="14">
        <f>SUMIF('02.08'!$B$4:$B$11,A155,'02.08'!$C$4:$C$11)+SUMIF('02.08'!$D$4:$D$11,A155,'02.08'!$E$4:$E$11)+SUMIF('02.08'!$F$4:$F$11,A155,'02.08'!$G$4:$G$11)+SUMIF('02.08'!$H$4:$H$11,A155,'02.08'!$I$4:$I$11)+SUMIF('02.08'!$J$4:$J$11,A155,'02.08'!$K$4:$K$11)+SUMIF('02.08'!$L$4:$L$11,A155,'02.08'!$M$4:$M$11)+SUMIF('02.08'!$N$4:$N$11,A155,'02.08'!$O$4:$O$11)</f>
        <v>0</v>
      </c>
      <c r="J159" s="15">
        <f>SUMIF('03.08'!$B$4:$B$11,A155,'03.08'!$C$4:$C$11)+SUMIF('03.08'!$D$4:$D$11,A155,'03.08'!$E$4:$E$11)+SUMIF('03.08'!$F$4:$F$11,A155,'03.08'!$G$4:$G$11)+SUMIF('03.08'!$H$4:$H$11,A155,'03.08'!$I$4:$I$11)+SUMIF('03.08'!$J$4:$J$11,A155,'03.08'!$K$4:$K$11)+SUMIF('03.08'!$L$4:$L$11,A155,'03.08'!$M$4:$M$11)+SUMIF('03.08'!$N$4:$N$11,A155,'03.08'!$O$4:$O$11)</f>
        <v>0</v>
      </c>
      <c r="K159" s="15">
        <f>SUMIF('04.08'!$B$4:$B$11,A155,'04.08'!$C$4:$C$11)+SUMIF('04.08'!$D$4:$D$11,A155,'04.08'!$E$4:$E$11)+SUMIF('04.08'!$F$4:$F$11,A155,'04.08'!$G$4:$G$11)+SUMIF('04.08'!$H$4:$H$11,A155,'04.08'!$I$4:$I$11)+SUMIF('04.08'!$J$4:$J$11,A155,'04.08'!$K$4:$K$11)+SUMIF('04.08'!$L$4:$L$11,A155,'04.08'!$M$4:$M$11)+SUMIF('04.08'!$N$4:$N$11,A155,'04.08'!$O$4:$O$11)</f>
        <v>0</v>
      </c>
      <c r="L159" s="15">
        <f>SUMIF('05.08'!$B$4:$B$11,A155,'05.08'!$C$4:$C$11)+SUMIF('05.08'!$D$4:$D$11,A155,'05.08'!$E$4:$E$11)+SUMIF('05.08'!$F$4:$F$11,A155,'05.08'!$G$4:$G$11)+SUMIF('05.08'!$H$4:$H$11,A155,'05.08'!$I$4:$I$11)+SUMIF('05.08'!$J$4:$J$11,A155,'05.08'!$K$4:$K$11)+SUMIF('05.08'!$L$4:$L$11,A155,'05.08'!$M$4:$M$11)+SUMIF('05.08'!$N$4:$N$11,A155,'05.08'!$O$4:$O$11)</f>
        <v>0</v>
      </c>
      <c r="M159" s="15">
        <f>SUMIF('06.08'!$B$4:$B$11,A155,'06.08'!$C$4:$C$11)+SUMIF('06.08'!$D$4:$D$11,A155,'06.08'!$E$4:$E$11)+SUMIF('06.08'!$F$4:$F$11,A155,'06.08'!$G$4:$G$11)+SUMIF('06.08'!$H$4:$H$11,A155,'06.08'!$I$4:$I$11)+SUMIF('06.08'!$J$4:$J$11,A155,'06.08'!$K$4:$K$11)+SUMIF('06.08'!$L$4:$L$11,A155,'06.08'!$M$4:$M$11)+SUMIF('06.08'!$N$4:$N$11,A155,'06.08'!$O$4:$O$11)</f>
        <v>0</v>
      </c>
      <c r="N159" s="15">
        <f>SUMIF('07.08'!$B$4:$B$11,A155,'07.08'!$C$4:$C$11)+SUMIF('07.08'!$D$4:$D$11,A155,'07.08'!$E$4:$E$11)+SUMIF('07.08'!$F$4:$F$11,A155,'07.08'!$G$4:$G$11)+SUMIF('07.08'!$H$4:$H$11,A155,'07.08'!$I$4:$I$11)+SUMIF('07.08'!$J$4:$J$11,A155,'07.08'!$K$4:$K$11)+SUMIF('07.08'!$L$4:$L$11,A155,'07.08'!$M$4:$M$11)+SUMIF('07.08'!$N$4:$N$11,A155,'07.08'!$O$4:$O$11)</f>
        <v>0</v>
      </c>
      <c r="O159" s="15">
        <f>SUMIF('08.08'!$B$4:$B$11,A155,'08.08'!$C$4:$C$11)+SUMIF('08.08'!$D$4:$D$11,A155,'08.08'!$E$4:$E$11)+SUMIF('08.08'!$F$4:$F$11,A155,'08.08'!$G$4:$G$11)+SUMIF('08.08'!$H$4:$H$11,A155,'08.08'!$I$4:$I$11)+SUMIF('08.08'!$J$4:$J$11,A155,'08.08'!$K$4:$K$11)+SUMIF('08.08'!$L$4:$L$11,A155,'08.08'!$M$4:$M$11)+SUMIF('08.08'!$N$4:$N$11,A155,'08.08'!$O$4:$O$11)</f>
        <v>0</v>
      </c>
      <c r="P159" s="15">
        <f>SUMIF('09.08'!$B$4:$B$11,A155,'09.08'!$C$4:$C$11)+SUMIF('09.08'!$D$4:$D$11,A155,'09.08'!$E$4:$E$11)+SUMIF('09.08'!$F$4:$F$11,A155,'09.08'!$G$4:$G$11)+SUMIF('09.08'!$H$4:$H$11,A155,'09.08'!$I$4:$I$11)+SUMIF('09.08'!$J$4:$J$11,A155,'09.08'!$K$4:$K$11)+SUMIF('09.08'!$L$4:$L$11,A155,'09.08'!$M$4:$M$11)+SUMIF('09.08'!$N$4:$N$11,A155,'09.08'!$O$4:$O$11)</f>
        <v>0</v>
      </c>
      <c r="Q159" s="15">
        <f>SUMIF('10.08'!$B$4:$B$11,A155,'10.08'!$C$4:$C$11)+SUMIF('10.08'!$D$4:$D$11,A155,'10.08'!$E$4:$E$11)+SUMIF('10.08'!$F$4:$F$11,A155,'10.08'!$G$4:$G$11)+SUMIF('10.08'!$H$4:$H$11,A155,'10.08'!$I$4:$I$11)+SUMIF('10.08'!$J$4:$J$11,A155,'10.08'!$K$4:$K$11)+SUMIF('10.08'!$L$4:$L$11,A155,'10.08'!$M$4:$M$11)+SUMIF('10.08'!$N$4:$N$11,A155,'10.08'!$O$4:$O$11)</f>
        <v>0</v>
      </c>
      <c r="R159" s="16" t="str">
        <f t="shared" si="14"/>
        <v>#N/A</v>
      </c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</row>
    <row r="160">
      <c r="A160" s="39" t="str">
        <f>'список продуктов'!A180</f>
        <v/>
      </c>
      <c r="B160" s="39" t="str">
        <f>'список продуктов'!B180</f>
        <v/>
      </c>
      <c r="C160" s="39" t="str">
        <f>'список продуктов'!C180</f>
        <v/>
      </c>
      <c r="D160" s="39" t="str">
        <f>'список продуктов'!D180</f>
        <v/>
      </c>
      <c r="E160" s="39" t="str">
        <f>'список продуктов'!E180</f>
        <v/>
      </c>
      <c r="F160" s="47" t="str">
        <f t="shared" si="15"/>
        <v>#N/A</v>
      </c>
      <c r="G160" s="47" t="str">
        <f t="shared" si="10"/>
        <v>Введите занчения</v>
      </c>
      <c r="H160" s="48" t="str">
        <f t="shared" si="12"/>
        <v>Введите занчения</v>
      </c>
      <c r="I160" s="14">
        <f>SUMIF('02.08'!$B$4:$B$11,A156,'02.08'!$C$4:$C$11)+SUMIF('02.08'!$D$4:$D$11,A156,'02.08'!$E$4:$E$11)+SUMIF('02.08'!$F$4:$F$11,A156,'02.08'!$G$4:$G$11)+SUMIF('02.08'!$H$4:$H$11,A156,'02.08'!$I$4:$I$11)+SUMIF('02.08'!$J$4:$J$11,A156,'02.08'!$K$4:$K$11)+SUMIF('02.08'!$L$4:$L$11,A156,'02.08'!$M$4:$M$11)+SUMIF('02.08'!$N$4:$N$11,A156,'02.08'!$O$4:$O$11)</f>
        <v>0</v>
      </c>
      <c r="J160" s="15">
        <f>SUMIF('03.08'!$B$4:$B$11,A156,'03.08'!$C$4:$C$11)+SUMIF('03.08'!$D$4:$D$11,A156,'03.08'!$E$4:$E$11)+SUMIF('03.08'!$F$4:$F$11,A156,'03.08'!$G$4:$G$11)+SUMIF('03.08'!$H$4:$H$11,A156,'03.08'!$I$4:$I$11)+SUMIF('03.08'!$J$4:$J$11,A156,'03.08'!$K$4:$K$11)+SUMIF('03.08'!$L$4:$L$11,A156,'03.08'!$M$4:$M$11)+SUMIF('03.08'!$N$4:$N$11,A156,'03.08'!$O$4:$O$11)</f>
        <v>0</v>
      </c>
      <c r="K160" s="15">
        <f>SUMIF('04.08'!$B$4:$B$11,A156,'04.08'!$C$4:$C$11)+SUMIF('04.08'!$D$4:$D$11,A156,'04.08'!$E$4:$E$11)+SUMIF('04.08'!$F$4:$F$11,A156,'04.08'!$G$4:$G$11)+SUMIF('04.08'!$H$4:$H$11,A156,'04.08'!$I$4:$I$11)+SUMIF('04.08'!$J$4:$J$11,A156,'04.08'!$K$4:$K$11)+SUMIF('04.08'!$L$4:$L$11,A156,'04.08'!$M$4:$M$11)+SUMIF('04.08'!$N$4:$N$11,A156,'04.08'!$O$4:$O$11)</f>
        <v>0</v>
      </c>
      <c r="L160" s="15">
        <f>SUMIF('05.08'!$B$4:$B$11,A156,'05.08'!$C$4:$C$11)+SUMIF('05.08'!$D$4:$D$11,A156,'05.08'!$E$4:$E$11)+SUMIF('05.08'!$F$4:$F$11,A156,'05.08'!$G$4:$G$11)+SUMIF('05.08'!$H$4:$H$11,A156,'05.08'!$I$4:$I$11)+SUMIF('05.08'!$J$4:$J$11,A156,'05.08'!$K$4:$K$11)+SUMIF('05.08'!$L$4:$L$11,A156,'05.08'!$M$4:$M$11)+SUMIF('05.08'!$N$4:$N$11,A156,'05.08'!$O$4:$O$11)</f>
        <v>0</v>
      </c>
      <c r="M160" s="15">
        <f>SUMIF('06.08'!$B$4:$B$11,A156,'06.08'!$C$4:$C$11)+SUMIF('06.08'!$D$4:$D$11,A156,'06.08'!$E$4:$E$11)+SUMIF('06.08'!$F$4:$F$11,A156,'06.08'!$G$4:$G$11)+SUMIF('06.08'!$H$4:$H$11,A156,'06.08'!$I$4:$I$11)+SUMIF('06.08'!$J$4:$J$11,A156,'06.08'!$K$4:$K$11)+SUMIF('06.08'!$L$4:$L$11,A156,'06.08'!$M$4:$M$11)+SUMIF('06.08'!$N$4:$N$11,A156,'06.08'!$O$4:$O$11)</f>
        <v>0</v>
      </c>
      <c r="N160" s="15">
        <f>SUMIF('07.08'!$B$4:$B$11,A156,'07.08'!$C$4:$C$11)+SUMIF('07.08'!$D$4:$D$11,A156,'07.08'!$E$4:$E$11)+SUMIF('07.08'!$F$4:$F$11,A156,'07.08'!$G$4:$G$11)+SUMIF('07.08'!$H$4:$H$11,A156,'07.08'!$I$4:$I$11)+SUMIF('07.08'!$J$4:$J$11,A156,'07.08'!$K$4:$K$11)+SUMIF('07.08'!$L$4:$L$11,A156,'07.08'!$M$4:$M$11)+SUMIF('07.08'!$N$4:$N$11,A156,'07.08'!$O$4:$O$11)</f>
        <v>0</v>
      </c>
      <c r="O160" s="15">
        <f>SUMIF('08.08'!$B$4:$B$11,A156,'08.08'!$C$4:$C$11)+SUMIF('08.08'!$D$4:$D$11,A156,'08.08'!$E$4:$E$11)+SUMIF('08.08'!$F$4:$F$11,A156,'08.08'!$G$4:$G$11)+SUMIF('08.08'!$H$4:$H$11,A156,'08.08'!$I$4:$I$11)+SUMIF('08.08'!$J$4:$J$11,A156,'08.08'!$K$4:$K$11)+SUMIF('08.08'!$L$4:$L$11,A156,'08.08'!$M$4:$M$11)+SUMIF('08.08'!$N$4:$N$11,A156,'08.08'!$O$4:$O$11)</f>
        <v>0</v>
      </c>
      <c r="P160" s="15">
        <f>SUMIF('09.08'!$B$4:$B$11,A156,'09.08'!$C$4:$C$11)+SUMIF('09.08'!$D$4:$D$11,A156,'09.08'!$E$4:$E$11)+SUMIF('09.08'!$F$4:$F$11,A156,'09.08'!$G$4:$G$11)+SUMIF('09.08'!$H$4:$H$11,A156,'09.08'!$I$4:$I$11)+SUMIF('09.08'!$J$4:$J$11,A156,'09.08'!$K$4:$K$11)+SUMIF('09.08'!$L$4:$L$11,A156,'09.08'!$M$4:$M$11)+SUMIF('09.08'!$N$4:$N$11,A156,'09.08'!$O$4:$O$11)</f>
        <v>0</v>
      </c>
      <c r="Q160" s="15">
        <f>SUMIF('10.08'!$B$4:$B$11,A156,'10.08'!$C$4:$C$11)+SUMIF('10.08'!$D$4:$D$11,A156,'10.08'!$E$4:$E$11)+SUMIF('10.08'!$F$4:$F$11,A156,'10.08'!$G$4:$G$11)+SUMIF('10.08'!$H$4:$H$11,A156,'10.08'!$I$4:$I$11)+SUMIF('10.08'!$J$4:$J$11,A156,'10.08'!$K$4:$K$11)+SUMIF('10.08'!$L$4:$L$11,A156,'10.08'!$M$4:$M$11)+SUMIF('10.08'!$N$4:$N$11,A156,'10.08'!$O$4:$O$11)</f>
        <v>0</v>
      </c>
      <c r="R160" s="16" t="str">
        <f t="shared" si="14"/>
        <v>#N/A</v>
      </c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</row>
    <row r="161">
      <c r="A161" s="39" t="str">
        <f>'список продуктов'!A181</f>
        <v/>
      </c>
      <c r="B161" s="39" t="str">
        <f>'список продуктов'!B181</f>
        <v/>
      </c>
      <c r="C161" s="39" t="str">
        <f>'список продуктов'!C181</f>
        <v/>
      </c>
      <c r="D161" s="39" t="str">
        <f>'список продуктов'!D181</f>
        <v/>
      </c>
      <c r="E161" s="39" t="str">
        <f>'список продуктов'!E181</f>
        <v/>
      </c>
      <c r="F161" s="47" t="str">
        <f t="shared" si="15"/>
        <v>#N/A</v>
      </c>
      <c r="G161" s="47" t="str">
        <f t="shared" si="10"/>
        <v>Введите занчения</v>
      </c>
      <c r="H161" s="48" t="str">
        <f t="shared" si="12"/>
        <v>Введите занчения</v>
      </c>
      <c r="I161" s="14">
        <f>SUMIF('02.08'!$B$4:$B$11,A157,'02.08'!$C$4:$C$11)+SUMIF('02.08'!$D$4:$D$11,A157,'02.08'!$E$4:$E$11)+SUMIF('02.08'!$F$4:$F$11,A157,'02.08'!$G$4:$G$11)+SUMIF('02.08'!$H$4:$H$11,A157,'02.08'!$I$4:$I$11)+SUMIF('02.08'!$J$4:$J$11,A157,'02.08'!$K$4:$K$11)+SUMIF('02.08'!$L$4:$L$11,A157,'02.08'!$M$4:$M$11)+SUMIF('02.08'!$N$4:$N$11,A157,'02.08'!$O$4:$O$11)</f>
        <v>0</v>
      </c>
      <c r="J161" s="15">
        <f>SUMIF('03.08'!$B$4:$B$11,A157,'03.08'!$C$4:$C$11)+SUMIF('03.08'!$D$4:$D$11,A157,'03.08'!$E$4:$E$11)+SUMIF('03.08'!$F$4:$F$11,A157,'03.08'!$G$4:$G$11)+SUMIF('03.08'!$H$4:$H$11,A157,'03.08'!$I$4:$I$11)+SUMIF('03.08'!$J$4:$J$11,A157,'03.08'!$K$4:$K$11)+SUMIF('03.08'!$L$4:$L$11,A157,'03.08'!$M$4:$M$11)+SUMIF('03.08'!$N$4:$N$11,A157,'03.08'!$O$4:$O$11)</f>
        <v>0</v>
      </c>
      <c r="K161" s="15">
        <f>SUMIF('04.08'!$B$4:$B$11,A157,'04.08'!$C$4:$C$11)+SUMIF('04.08'!$D$4:$D$11,A157,'04.08'!$E$4:$E$11)+SUMIF('04.08'!$F$4:$F$11,A157,'04.08'!$G$4:$G$11)+SUMIF('04.08'!$H$4:$H$11,A157,'04.08'!$I$4:$I$11)+SUMIF('04.08'!$J$4:$J$11,A157,'04.08'!$K$4:$K$11)+SUMIF('04.08'!$L$4:$L$11,A157,'04.08'!$M$4:$M$11)+SUMIF('04.08'!$N$4:$N$11,A157,'04.08'!$O$4:$O$11)</f>
        <v>0</v>
      </c>
      <c r="L161" s="15">
        <f>SUMIF('05.08'!$B$4:$B$11,A157,'05.08'!$C$4:$C$11)+SUMIF('05.08'!$D$4:$D$11,A157,'05.08'!$E$4:$E$11)+SUMIF('05.08'!$F$4:$F$11,A157,'05.08'!$G$4:$G$11)+SUMIF('05.08'!$H$4:$H$11,A157,'05.08'!$I$4:$I$11)+SUMIF('05.08'!$J$4:$J$11,A157,'05.08'!$K$4:$K$11)+SUMIF('05.08'!$L$4:$L$11,A157,'05.08'!$M$4:$M$11)+SUMIF('05.08'!$N$4:$N$11,A157,'05.08'!$O$4:$O$11)</f>
        <v>0</v>
      </c>
      <c r="M161" s="15">
        <f>SUMIF('06.08'!$B$4:$B$11,A157,'06.08'!$C$4:$C$11)+SUMIF('06.08'!$D$4:$D$11,A157,'06.08'!$E$4:$E$11)+SUMIF('06.08'!$F$4:$F$11,A157,'06.08'!$G$4:$G$11)+SUMIF('06.08'!$H$4:$H$11,A157,'06.08'!$I$4:$I$11)+SUMIF('06.08'!$J$4:$J$11,A157,'06.08'!$K$4:$K$11)+SUMIF('06.08'!$L$4:$L$11,A157,'06.08'!$M$4:$M$11)+SUMIF('06.08'!$N$4:$N$11,A157,'06.08'!$O$4:$O$11)</f>
        <v>0</v>
      </c>
      <c r="N161" s="15">
        <f>SUMIF('07.08'!$B$4:$B$11,A157,'07.08'!$C$4:$C$11)+SUMIF('07.08'!$D$4:$D$11,A157,'07.08'!$E$4:$E$11)+SUMIF('07.08'!$F$4:$F$11,A157,'07.08'!$G$4:$G$11)+SUMIF('07.08'!$H$4:$H$11,A157,'07.08'!$I$4:$I$11)+SUMIF('07.08'!$J$4:$J$11,A157,'07.08'!$K$4:$K$11)+SUMIF('07.08'!$L$4:$L$11,A157,'07.08'!$M$4:$M$11)+SUMIF('07.08'!$N$4:$N$11,A157,'07.08'!$O$4:$O$11)</f>
        <v>0</v>
      </c>
      <c r="O161" s="15">
        <f>SUMIF('08.08'!$B$4:$B$11,A157,'08.08'!$C$4:$C$11)+SUMIF('08.08'!$D$4:$D$11,A157,'08.08'!$E$4:$E$11)+SUMIF('08.08'!$F$4:$F$11,A157,'08.08'!$G$4:$G$11)+SUMIF('08.08'!$H$4:$H$11,A157,'08.08'!$I$4:$I$11)+SUMIF('08.08'!$J$4:$J$11,A157,'08.08'!$K$4:$K$11)+SUMIF('08.08'!$L$4:$L$11,A157,'08.08'!$M$4:$M$11)+SUMIF('08.08'!$N$4:$N$11,A157,'08.08'!$O$4:$O$11)</f>
        <v>0</v>
      </c>
      <c r="P161" s="15">
        <f>SUMIF('09.08'!$B$4:$B$11,A157,'09.08'!$C$4:$C$11)+SUMIF('09.08'!$D$4:$D$11,A157,'09.08'!$E$4:$E$11)+SUMIF('09.08'!$F$4:$F$11,A157,'09.08'!$G$4:$G$11)+SUMIF('09.08'!$H$4:$H$11,A157,'09.08'!$I$4:$I$11)+SUMIF('09.08'!$J$4:$J$11,A157,'09.08'!$K$4:$K$11)+SUMIF('09.08'!$L$4:$L$11,A157,'09.08'!$M$4:$M$11)+SUMIF('09.08'!$N$4:$N$11,A157,'09.08'!$O$4:$O$11)</f>
        <v>0</v>
      </c>
      <c r="Q161" s="15">
        <f>SUMIF('10.08'!$B$4:$B$11,A157,'10.08'!$C$4:$C$11)+SUMIF('10.08'!$D$4:$D$11,A157,'10.08'!$E$4:$E$11)+SUMIF('10.08'!$F$4:$F$11,A157,'10.08'!$G$4:$G$11)+SUMIF('10.08'!$H$4:$H$11,A157,'10.08'!$I$4:$I$11)+SUMIF('10.08'!$J$4:$J$11,A157,'10.08'!$K$4:$K$11)+SUMIF('10.08'!$L$4:$L$11,A157,'10.08'!$M$4:$M$11)+SUMIF('10.08'!$N$4:$N$11,A157,'10.08'!$O$4:$O$11)</f>
        <v>0</v>
      </c>
      <c r="R161" s="16" t="str">
        <f t="shared" si="14"/>
        <v>#N/A</v>
      </c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</row>
    <row r="162">
      <c r="A162" s="39" t="str">
        <f>'список продуктов'!A182</f>
        <v/>
      </c>
      <c r="B162" s="39" t="str">
        <f>'список продуктов'!B182</f>
        <v/>
      </c>
      <c r="C162" s="39" t="str">
        <f>'список продуктов'!C182</f>
        <v/>
      </c>
      <c r="D162" s="39" t="str">
        <f>'список продуктов'!D182</f>
        <v/>
      </c>
      <c r="E162" s="39" t="str">
        <f>'список продуктов'!E182</f>
        <v/>
      </c>
      <c r="F162" s="47" t="str">
        <f t="shared" si="15"/>
        <v>#N/A</v>
      </c>
      <c r="G162" s="47" t="str">
        <f t="shared" si="10"/>
        <v>Введите занчения</v>
      </c>
      <c r="H162" s="48" t="str">
        <f t="shared" si="12"/>
        <v>Введите занчения</v>
      </c>
      <c r="I162" s="14">
        <f>SUMIF('02.08'!$B$4:$B$11,A158,'02.08'!$C$4:$C$11)+SUMIF('02.08'!$D$4:$D$11,A158,'02.08'!$E$4:$E$11)+SUMIF('02.08'!$F$4:$F$11,A158,'02.08'!$G$4:$G$11)+SUMIF('02.08'!$H$4:$H$11,A158,'02.08'!$I$4:$I$11)+SUMIF('02.08'!$J$4:$J$11,A158,'02.08'!$K$4:$K$11)+SUMIF('02.08'!$L$4:$L$11,A158,'02.08'!$M$4:$M$11)+SUMIF('02.08'!$N$4:$N$11,A158,'02.08'!$O$4:$O$11)</f>
        <v>0</v>
      </c>
      <c r="J162" s="15">
        <f>SUMIF('03.08'!$B$4:$B$11,A158,'03.08'!$C$4:$C$11)+SUMIF('03.08'!$D$4:$D$11,A158,'03.08'!$E$4:$E$11)+SUMIF('03.08'!$F$4:$F$11,A158,'03.08'!$G$4:$G$11)+SUMIF('03.08'!$H$4:$H$11,A158,'03.08'!$I$4:$I$11)+SUMIF('03.08'!$J$4:$J$11,A158,'03.08'!$K$4:$K$11)+SUMIF('03.08'!$L$4:$L$11,A158,'03.08'!$M$4:$M$11)+SUMIF('03.08'!$N$4:$N$11,A158,'03.08'!$O$4:$O$11)</f>
        <v>0</v>
      </c>
      <c r="K162" s="15">
        <f>SUMIF('04.08'!$B$4:$B$11,A158,'04.08'!$C$4:$C$11)+SUMIF('04.08'!$D$4:$D$11,A158,'04.08'!$E$4:$E$11)+SUMIF('04.08'!$F$4:$F$11,A158,'04.08'!$G$4:$G$11)+SUMIF('04.08'!$H$4:$H$11,A158,'04.08'!$I$4:$I$11)+SUMIF('04.08'!$J$4:$J$11,A158,'04.08'!$K$4:$K$11)+SUMIF('04.08'!$L$4:$L$11,A158,'04.08'!$M$4:$M$11)+SUMIF('04.08'!$N$4:$N$11,A158,'04.08'!$O$4:$O$11)</f>
        <v>0</v>
      </c>
      <c r="L162" s="15">
        <f>SUMIF('05.08'!$B$4:$B$11,A158,'05.08'!$C$4:$C$11)+SUMIF('05.08'!$D$4:$D$11,A158,'05.08'!$E$4:$E$11)+SUMIF('05.08'!$F$4:$F$11,A158,'05.08'!$G$4:$G$11)+SUMIF('05.08'!$H$4:$H$11,A158,'05.08'!$I$4:$I$11)+SUMIF('05.08'!$J$4:$J$11,A158,'05.08'!$K$4:$K$11)+SUMIF('05.08'!$L$4:$L$11,A158,'05.08'!$M$4:$M$11)+SUMIF('05.08'!$N$4:$N$11,A158,'05.08'!$O$4:$O$11)</f>
        <v>0</v>
      </c>
      <c r="M162" s="15">
        <f>SUMIF('06.08'!$B$4:$B$11,A158,'06.08'!$C$4:$C$11)+SUMIF('06.08'!$D$4:$D$11,A158,'06.08'!$E$4:$E$11)+SUMIF('06.08'!$F$4:$F$11,A158,'06.08'!$G$4:$G$11)+SUMIF('06.08'!$H$4:$H$11,A158,'06.08'!$I$4:$I$11)+SUMIF('06.08'!$J$4:$J$11,A158,'06.08'!$K$4:$K$11)+SUMIF('06.08'!$L$4:$L$11,A158,'06.08'!$M$4:$M$11)+SUMIF('06.08'!$N$4:$N$11,A158,'06.08'!$O$4:$O$11)</f>
        <v>0</v>
      </c>
      <c r="N162" s="15">
        <f>SUMIF('07.08'!$B$4:$B$11,A158,'07.08'!$C$4:$C$11)+SUMIF('07.08'!$D$4:$D$11,A158,'07.08'!$E$4:$E$11)+SUMIF('07.08'!$F$4:$F$11,A158,'07.08'!$G$4:$G$11)+SUMIF('07.08'!$H$4:$H$11,A158,'07.08'!$I$4:$I$11)+SUMIF('07.08'!$J$4:$J$11,A158,'07.08'!$K$4:$K$11)+SUMIF('07.08'!$L$4:$L$11,A158,'07.08'!$M$4:$M$11)+SUMIF('07.08'!$N$4:$N$11,A158,'07.08'!$O$4:$O$11)</f>
        <v>0</v>
      </c>
      <c r="O162" s="15">
        <f>SUMIF('08.08'!$B$4:$B$11,A158,'08.08'!$C$4:$C$11)+SUMIF('08.08'!$D$4:$D$11,A158,'08.08'!$E$4:$E$11)+SUMIF('08.08'!$F$4:$F$11,A158,'08.08'!$G$4:$G$11)+SUMIF('08.08'!$H$4:$H$11,A158,'08.08'!$I$4:$I$11)+SUMIF('08.08'!$J$4:$J$11,A158,'08.08'!$K$4:$K$11)+SUMIF('08.08'!$L$4:$L$11,A158,'08.08'!$M$4:$M$11)+SUMIF('08.08'!$N$4:$N$11,A158,'08.08'!$O$4:$O$11)</f>
        <v>0</v>
      </c>
      <c r="P162" s="15">
        <f>SUMIF('09.08'!$B$4:$B$11,A158,'09.08'!$C$4:$C$11)+SUMIF('09.08'!$D$4:$D$11,A158,'09.08'!$E$4:$E$11)+SUMIF('09.08'!$F$4:$F$11,A158,'09.08'!$G$4:$G$11)+SUMIF('09.08'!$H$4:$H$11,A158,'09.08'!$I$4:$I$11)+SUMIF('09.08'!$J$4:$J$11,A158,'09.08'!$K$4:$K$11)+SUMIF('09.08'!$L$4:$L$11,A158,'09.08'!$M$4:$M$11)+SUMIF('09.08'!$N$4:$N$11,A158,'09.08'!$O$4:$O$11)</f>
        <v>0</v>
      </c>
      <c r="Q162" s="15">
        <f>SUMIF('10.08'!$B$4:$B$11,A158,'10.08'!$C$4:$C$11)+SUMIF('10.08'!$D$4:$D$11,A158,'10.08'!$E$4:$E$11)+SUMIF('10.08'!$F$4:$F$11,A158,'10.08'!$G$4:$G$11)+SUMIF('10.08'!$H$4:$H$11,A158,'10.08'!$I$4:$I$11)+SUMIF('10.08'!$J$4:$J$11,A158,'10.08'!$K$4:$K$11)+SUMIF('10.08'!$L$4:$L$11,A158,'10.08'!$M$4:$M$11)+SUMIF('10.08'!$N$4:$N$11,A158,'10.08'!$O$4:$O$11)</f>
        <v>0</v>
      </c>
      <c r="R162" s="16" t="str">
        <f t="shared" si="14"/>
        <v>#N/A</v>
      </c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</row>
    <row r="163">
      <c r="A163" s="39" t="str">
        <f>'список продуктов'!A183</f>
        <v/>
      </c>
      <c r="B163" s="39" t="str">
        <f>'список продуктов'!B183</f>
        <v/>
      </c>
      <c r="C163" s="39" t="str">
        <f>'список продуктов'!C183</f>
        <v/>
      </c>
      <c r="D163" s="39" t="str">
        <f>'список продуктов'!D183</f>
        <v/>
      </c>
      <c r="E163" s="39" t="str">
        <f>'список продуктов'!E183</f>
        <v/>
      </c>
      <c r="F163" s="47" t="str">
        <f t="shared" si="15"/>
        <v>#N/A</v>
      </c>
      <c r="G163" s="47" t="str">
        <f t="shared" si="10"/>
        <v>Введите занчения</v>
      </c>
      <c r="H163" s="48" t="str">
        <f t="shared" si="12"/>
        <v>Введите занчения</v>
      </c>
      <c r="I163" s="14">
        <f>SUMIF('02.08'!$B$4:$B$11,A159,'02.08'!$C$4:$C$11)+SUMIF('02.08'!$D$4:$D$11,A159,'02.08'!$E$4:$E$11)+SUMIF('02.08'!$F$4:$F$11,A159,'02.08'!$G$4:$G$11)+SUMIF('02.08'!$H$4:$H$11,A159,'02.08'!$I$4:$I$11)+SUMIF('02.08'!$J$4:$J$11,A159,'02.08'!$K$4:$K$11)+SUMIF('02.08'!$L$4:$L$11,A159,'02.08'!$M$4:$M$11)+SUMIF('02.08'!$N$4:$N$11,A159,'02.08'!$O$4:$O$11)</f>
        <v>0</v>
      </c>
      <c r="J163" s="15">
        <f>SUMIF('03.08'!$B$4:$B$11,A159,'03.08'!$C$4:$C$11)+SUMIF('03.08'!$D$4:$D$11,A159,'03.08'!$E$4:$E$11)+SUMIF('03.08'!$F$4:$F$11,A159,'03.08'!$G$4:$G$11)+SUMIF('03.08'!$H$4:$H$11,A159,'03.08'!$I$4:$I$11)+SUMIF('03.08'!$J$4:$J$11,A159,'03.08'!$K$4:$K$11)+SUMIF('03.08'!$L$4:$L$11,A159,'03.08'!$M$4:$M$11)+SUMIF('03.08'!$N$4:$N$11,A159,'03.08'!$O$4:$O$11)</f>
        <v>0</v>
      </c>
      <c r="K163" s="15">
        <f>SUMIF('04.08'!$B$4:$B$11,A159,'04.08'!$C$4:$C$11)+SUMIF('04.08'!$D$4:$D$11,A159,'04.08'!$E$4:$E$11)+SUMIF('04.08'!$F$4:$F$11,A159,'04.08'!$G$4:$G$11)+SUMIF('04.08'!$H$4:$H$11,A159,'04.08'!$I$4:$I$11)+SUMIF('04.08'!$J$4:$J$11,A159,'04.08'!$K$4:$K$11)+SUMIF('04.08'!$L$4:$L$11,A159,'04.08'!$M$4:$M$11)+SUMIF('04.08'!$N$4:$N$11,A159,'04.08'!$O$4:$O$11)</f>
        <v>0</v>
      </c>
      <c r="L163" s="15">
        <f>SUMIF('05.08'!$B$4:$B$11,A159,'05.08'!$C$4:$C$11)+SUMIF('05.08'!$D$4:$D$11,A159,'05.08'!$E$4:$E$11)+SUMIF('05.08'!$F$4:$F$11,A159,'05.08'!$G$4:$G$11)+SUMIF('05.08'!$H$4:$H$11,A159,'05.08'!$I$4:$I$11)+SUMIF('05.08'!$J$4:$J$11,A159,'05.08'!$K$4:$K$11)+SUMIF('05.08'!$L$4:$L$11,A159,'05.08'!$M$4:$M$11)+SUMIF('05.08'!$N$4:$N$11,A159,'05.08'!$O$4:$O$11)</f>
        <v>0</v>
      </c>
      <c r="M163" s="15">
        <f>SUMIF('06.08'!$B$4:$B$11,A159,'06.08'!$C$4:$C$11)+SUMIF('06.08'!$D$4:$D$11,A159,'06.08'!$E$4:$E$11)+SUMIF('06.08'!$F$4:$F$11,A159,'06.08'!$G$4:$G$11)+SUMIF('06.08'!$H$4:$H$11,A159,'06.08'!$I$4:$I$11)+SUMIF('06.08'!$J$4:$J$11,A159,'06.08'!$K$4:$K$11)+SUMIF('06.08'!$L$4:$L$11,A159,'06.08'!$M$4:$M$11)+SUMIF('06.08'!$N$4:$N$11,A159,'06.08'!$O$4:$O$11)</f>
        <v>0</v>
      </c>
      <c r="N163" s="15">
        <f>SUMIF('07.08'!$B$4:$B$11,A159,'07.08'!$C$4:$C$11)+SUMIF('07.08'!$D$4:$D$11,A159,'07.08'!$E$4:$E$11)+SUMIF('07.08'!$F$4:$F$11,A159,'07.08'!$G$4:$G$11)+SUMIF('07.08'!$H$4:$H$11,A159,'07.08'!$I$4:$I$11)+SUMIF('07.08'!$J$4:$J$11,A159,'07.08'!$K$4:$K$11)+SUMIF('07.08'!$L$4:$L$11,A159,'07.08'!$M$4:$M$11)+SUMIF('07.08'!$N$4:$N$11,A159,'07.08'!$O$4:$O$11)</f>
        <v>0</v>
      </c>
      <c r="O163" s="15">
        <f>SUMIF('08.08'!$B$4:$B$11,A159,'08.08'!$C$4:$C$11)+SUMIF('08.08'!$D$4:$D$11,A159,'08.08'!$E$4:$E$11)+SUMIF('08.08'!$F$4:$F$11,A159,'08.08'!$G$4:$G$11)+SUMIF('08.08'!$H$4:$H$11,A159,'08.08'!$I$4:$I$11)+SUMIF('08.08'!$J$4:$J$11,A159,'08.08'!$K$4:$K$11)+SUMIF('08.08'!$L$4:$L$11,A159,'08.08'!$M$4:$M$11)+SUMIF('08.08'!$N$4:$N$11,A159,'08.08'!$O$4:$O$11)</f>
        <v>0</v>
      </c>
      <c r="P163" s="15">
        <f>SUMIF('09.08'!$B$4:$B$11,A159,'09.08'!$C$4:$C$11)+SUMIF('09.08'!$D$4:$D$11,A159,'09.08'!$E$4:$E$11)+SUMIF('09.08'!$F$4:$F$11,A159,'09.08'!$G$4:$G$11)+SUMIF('09.08'!$H$4:$H$11,A159,'09.08'!$I$4:$I$11)+SUMIF('09.08'!$J$4:$J$11,A159,'09.08'!$K$4:$K$11)+SUMIF('09.08'!$L$4:$L$11,A159,'09.08'!$M$4:$M$11)+SUMIF('09.08'!$N$4:$N$11,A159,'09.08'!$O$4:$O$11)</f>
        <v>0</v>
      </c>
      <c r="Q163" s="15">
        <f>SUMIF('10.08'!$B$4:$B$11,A159,'10.08'!$C$4:$C$11)+SUMIF('10.08'!$D$4:$D$11,A159,'10.08'!$E$4:$E$11)+SUMIF('10.08'!$F$4:$F$11,A159,'10.08'!$G$4:$G$11)+SUMIF('10.08'!$H$4:$H$11,A159,'10.08'!$I$4:$I$11)+SUMIF('10.08'!$J$4:$J$11,A159,'10.08'!$K$4:$K$11)+SUMIF('10.08'!$L$4:$L$11,A159,'10.08'!$M$4:$M$11)+SUMIF('10.08'!$N$4:$N$11,A159,'10.08'!$O$4:$O$11)</f>
        <v>0</v>
      </c>
      <c r="R163" s="16" t="str">
        <f t="shared" si="14"/>
        <v>#N/A</v>
      </c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</row>
    <row r="164">
      <c r="A164" s="39" t="str">
        <f>'список продуктов'!A184</f>
        <v/>
      </c>
      <c r="B164" s="39" t="str">
        <f>'список продуктов'!B184</f>
        <v/>
      </c>
      <c r="C164" s="39" t="str">
        <f>'список продуктов'!C184</f>
        <v/>
      </c>
      <c r="D164" s="39" t="str">
        <f>'список продуктов'!D184</f>
        <v/>
      </c>
      <c r="E164" s="39" t="str">
        <f>'список продуктов'!E184</f>
        <v/>
      </c>
      <c r="F164" s="47" t="str">
        <f t="shared" si="15"/>
        <v>#N/A</v>
      </c>
      <c r="G164" s="47" t="str">
        <f t="shared" si="10"/>
        <v>Введите занчения</v>
      </c>
      <c r="H164" s="48" t="str">
        <f t="shared" si="12"/>
        <v>Введите занчения</v>
      </c>
      <c r="I164" s="14">
        <f>SUMIF('02.08'!$B$4:$B$11,A160,'02.08'!$C$4:$C$11)+SUMIF('02.08'!$D$4:$D$11,A160,'02.08'!$E$4:$E$11)+SUMIF('02.08'!$F$4:$F$11,A160,'02.08'!$G$4:$G$11)+SUMIF('02.08'!$H$4:$H$11,A160,'02.08'!$I$4:$I$11)+SUMIF('02.08'!$J$4:$J$11,A160,'02.08'!$K$4:$K$11)+SUMIF('02.08'!$L$4:$L$11,A160,'02.08'!$M$4:$M$11)+SUMIF('02.08'!$N$4:$N$11,A160,'02.08'!$O$4:$O$11)</f>
        <v>0</v>
      </c>
      <c r="J164" s="15">
        <f>SUMIF('03.08'!$B$4:$B$11,A160,'03.08'!$C$4:$C$11)+SUMIF('03.08'!$D$4:$D$11,A160,'03.08'!$E$4:$E$11)+SUMIF('03.08'!$F$4:$F$11,A160,'03.08'!$G$4:$G$11)+SUMIF('03.08'!$H$4:$H$11,A160,'03.08'!$I$4:$I$11)+SUMIF('03.08'!$J$4:$J$11,A160,'03.08'!$K$4:$K$11)+SUMIF('03.08'!$L$4:$L$11,A160,'03.08'!$M$4:$M$11)+SUMIF('03.08'!$N$4:$N$11,A160,'03.08'!$O$4:$O$11)</f>
        <v>0</v>
      </c>
      <c r="K164" s="15">
        <f>SUMIF('04.08'!$B$4:$B$11,A160,'04.08'!$C$4:$C$11)+SUMIF('04.08'!$D$4:$D$11,A160,'04.08'!$E$4:$E$11)+SUMIF('04.08'!$F$4:$F$11,A160,'04.08'!$G$4:$G$11)+SUMIF('04.08'!$H$4:$H$11,A160,'04.08'!$I$4:$I$11)+SUMIF('04.08'!$J$4:$J$11,A160,'04.08'!$K$4:$K$11)+SUMIF('04.08'!$L$4:$L$11,A160,'04.08'!$M$4:$M$11)+SUMIF('04.08'!$N$4:$N$11,A160,'04.08'!$O$4:$O$11)</f>
        <v>0</v>
      </c>
      <c r="L164" s="15">
        <f>SUMIF('05.08'!$B$4:$B$11,A160,'05.08'!$C$4:$C$11)+SUMIF('05.08'!$D$4:$D$11,A160,'05.08'!$E$4:$E$11)+SUMIF('05.08'!$F$4:$F$11,A160,'05.08'!$G$4:$G$11)+SUMIF('05.08'!$H$4:$H$11,A160,'05.08'!$I$4:$I$11)+SUMIF('05.08'!$J$4:$J$11,A160,'05.08'!$K$4:$K$11)+SUMIF('05.08'!$L$4:$L$11,A160,'05.08'!$M$4:$M$11)+SUMIF('05.08'!$N$4:$N$11,A160,'05.08'!$O$4:$O$11)</f>
        <v>0</v>
      </c>
      <c r="M164" s="15">
        <f>SUMIF('06.08'!$B$4:$B$11,A160,'06.08'!$C$4:$C$11)+SUMIF('06.08'!$D$4:$D$11,A160,'06.08'!$E$4:$E$11)+SUMIF('06.08'!$F$4:$F$11,A160,'06.08'!$G$4:$G$11)+SUMIF('06.08'!$H$4:$H$11,A160,'06.08'!$I$4:$I$11)+SUMIF('06.08'!$J$4:$J$11,A160,'06.08'!$K$4:$K$11)+SUMIF('06.08'!$L$4:$L$11,A160,'06.08'!$M$4:$M$11)+SUMIF('06.08'!$N$4:$N$11,A160,'06.08'!$O$4:$O$11)</f>
        <v>0</v>
      </c>
      <c r="N164" s="15">
        <f>SUMIF('07.08'!$B$4:$B$11,A160,'07.08'!$C$4:$C$11)+SUMIF('07.08'!$D$4:$D$11,A160,'07.08'!$E$4:$E$11)+SUMIF('07.08'!$F$4:$F$11,A160,'07.08'!$G$4:$G$11)+SUMIF('07.08'!$H$4:$H$11,A160,'07.08'!$I$4:$I$11)+SUMIF('07.08'!$J$4:$J$11,A160,'07.08'!$K$4:$K$11)+SUMIF('07.08'!$L$4:$L$11,A160,'07.08'!$M$4:$M$11)+SUMIF('07.08'!$N$4:$N$11,A160,'07.08'!$O$4:$O$11)</f>
        <v>0</v>
      </c>
      <c r="O164" s="15">
        <f>SUMIF('08.08'!$B$4:$B$11,A160,'08.08'!$C$4:$C$11)+SUMIF('08.08'!$D$4:$D$11,A160,'08.08'!$E$4:$E$11)+SUMIF('08.08'!$F$4:$F$11,A160,'08.08'!$G$4:$G$11)+SUMIF('08.08'!$H$4:$H$11,A160,'08.08'!$I$4:$I$11)+SUMIF('08.08'!$J$4:$J$11,A160,'08.08'!$K$4:$K$11)+SUMIF('08.08'!$L$4:$L$11,A160,'08.08'!$M$4:$M$11)+SUMIF('08.08'!$N$4:$N$11,A160,'08.08'!$O$4:$O$11)</f>
        <v>0</v>
      </c>
      <c r="P164" s="15">
        <f>SUMIF('09.08'!$B$4:$B$11,A160,'09.08'!$C$4:$C$11)+SUMIF('09.08'!$D$4:$D$11,A160,'09.08'!$E$4:$E$11)+SUMIF('09.08'!$F$4:$F$11,A160,'09.08'!$G$4:$G$11)+SUMIF('09.08'!$H$4:$H$11,A160,'09.08'!$I$4:$I$11)+SUMIF('09.08'!$J$4:$J$11,A160,'09.08'!$K$4:$K$11)+SUMIF('09.08'!$L$4:$L$11,A160,'09.08'!$M$4:$M$11)+SUMIF('09.08'!$N$4:$N$11,A160,'09.08'!$O$4:$O$11)</f>
        <v>0</v>
      </c>
      <c r="Q164" s="15">
        <f>SUMIF('10.08'!$B$4:$B$11,A160,'10.08'!$C$4:$C$11)+SUMIF('10.08'!$D$4:$D$11,A160,'10.08'!$E$4:$E$11)+SUMIF('10.08'!$F$4:$F$11,A160,'10.08'!$G$4:$G$11)+SUMIF('10.08'!$H$4:$H$11,A160,'10.08'!$I$4:$I$11)+SUMIF('10.08'!$J$4:$J$11,A160,'10.08'!$K$4:$K$11)+SUMIF('10.08'!$L$4:$L$11,A160,'10.08'!$M$4:$M$11)+SUMIF('10.08'!$N$4:$N$11,A160,'10.08'!$O$4:$O$11)</f>
        <v>0</v>
      </c>
      <c r="R164" s="16" t="str">
        <f t="shared" si="14"/>
        <v>#N/A</v>
      </c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</row>
    <row r="165">
      <c r="A165" s="39" t="str">
        <f>'список продуктов'!A185</f>
        <v/>
      </c>
      <c r="B165" s="39" t="str">
        <f>'список продуктов'!B185</f>
        <v/>
      </c>
      <c r="C165" s="39" t="str">
        <f>'список продуктов'!C185</f>
        <v/>
      </c>
      <c r="D165" s="39" t="str">
        <f>'список продуктов'!D185</f>
        <v/>
      </c>
      <c r="E165" s="39" t="str">
        <f>'список продуктов'!E185</f>
        <v/>
      </c>
      <c r="F165" s="47" t="str">
        <f t="shared" si="15"/>
        <v>#N/A</v>
      </c>
      <c r="G165" s="47" t="str">
        <f t="shared" si="10"/>
        <v>Введите занчения</v>
      </c>
      <c r="H165" s="48" t="str">
        <f t="shared" si="12"/>
        <v>Введите занчения</v>
      </c>
      <c r="I165" s="14">
        <f>SUMIF('02.08'!$B$4:$B$11,A161,'02.08'!$C$4:$C$11)+SUMIF('02.08'!$D$4:$D$11,A161,'02.08'!$E$4:$E$11)+SUMIF('02.08'!$F$4:$F$11,A161,'02.08'!$G$4:$G$11)+SUMIF('02.08'!$H$4:$H$11,A161,'02.08'!$I$4:$I$11)+SUMIF('02.08'!$J$4:$J$11,A161,'02.08'!$K$4:$K$11)+SUMIF('02.08'!$L$4:$L$11,A161,'02.08'!$M$4:$M$11)+SUMIF('02.08'!$N$4:$N$11,A161,'02.08'!$O$4:$O$11)</f>
        <v>0</v>
      </c>
      <c r="J165" s="15">
        <f>SUMIF('03.08'!$B$4:$B$11,A161,'03.08'!$C$4:$C$11)+SUMIF('03.08'!$D$4:$D$11,A161,'03.08'!$E$4:$E$11)+SUMIF('03.08'!$F$4:$F$11,A161,'03.08'!$G$4:$G$11)+SUMIF('03.08'!$H$4:$H$11,A161,'03.08'!$I$4:$I$11)+SUMIF('03.08'!$J$4:$J$11,A161,'03.08'!$K$4:$K$11)+SUMIF('03.08'!$L$4:$L$11,A161,'03.08'!$M$4:$M$11)+SUMIF('03.08'!$N$4:$N$11,A161,'03.08'!$O$4:$O$11)</f>
        <v>0</v>
      </c>
      <c r="K165" s="15">
        <f>SUMIF('04.08'!$B$4:$B$11,A161,'04.08'!$C$4:$C$11)+SUMIF('04.08'!$D$4:$D$11,A161,'04.08'!$E$4:$E$11)+SUMIF('04.08'!$F$4:$F$11,A161,'04.08'!$G$4:$G$11)+SUMIF('04.08'!$H$4:$H$11,A161,'04.08'!$I$4:$I$11)+SUMIF('04.08'!$J$4:$J$11,A161,'04.08'!$K$4:$K$11)+SUMIF('04.08'!$L$4:$L$11,A161,'04.08'!$M$4:$M$11)+SUMIF('04.08'!$N$4:$N$11,A161,'04.08'!$O$4:$O$11)</f>
        <v>0</v>
      </c>
      <c r="L165" s="15">
        <f>SUMIF('05.08'!$B$4:$B$11,A161,'05.08'!$C$4:$C$11)+SUMIF('05.08'!$D$4:$D$11,A161,'05.08'!$E$4:$E$11)+SUMIF('05.08'!$F$4:$F$11,A161,'05.08'!$G$4:$G$11)+SUMIF('05.08'!$H$4:$H$11,A161,'05.08'!$I$4:$I$11)+SUMIF('05.08'!$J$4:$J$11,A161,'05.08'!$K$4:$K$11)+SUMIF('05.08'!$L$4:$L$11,A161,'05.08'!$M$4:$M$11)+SUMIF('05.08'!$N$4:$N$11,A161,'05.08'!$O$4:$O$11)</f>
        <v>0</v>
      </c>
      <c r="M165" s="15">
        <f>SUMIF('06.08'!$B$4:$B$11,A161,'06.08'!$C$4:$C$11)+SUMIF('06.08'!$D$4:$D$11,A161,'06.08'!$E$4:$E$11)+SUMIF('06.08'!$F$4:$F$11,A161,'06.08'!$G$4:$G$11)+SUMIF('06.08'!$H$4:$H$11,A161,'06.08'!$I$4:$I$11)+SUMIF('06.08'!$J$4:$J$11,A161,'06.08'!$K$4:$K$11)+SUMIF('06.08'!$L$4:$L$11,A161,'06.08'!$M$4:$M$11)+SUMIF('06.08'!$N$4:$N$11,A161,'06.08'!$O$4:$O$11)</f>
        <v>0</v>
      </c>
      <c r="N165" s="15">
        <f>SUMIF('07.08'!$B$4:$B$11,A161,'07.08'!$C$4:$C$11)+SUMIF('07.08'!$D$4:$D$11,A161,'07.08'!$E$4:$E$11)+SUMIF('07.08'!$F$4:$F$11,A161,'07.08'!$G$4:$G$11)+SUMIF('07.08'!$H$4:$H$11,A161,'07.08'!$I$4:$I$11)+SUMIF('07.08'!$J$4:$J$11,A161,'07.08'!$K$4:$K$11)+SUMIF('07.08'!$L$4:$L$11,A161,'07.08'!$M$4:$M$11)+SUMIF('07.08'!$N$4:$N$11,A161,'07.08'!$O$4:$O$11)</f>
        <v>0</v>
      </c>
      <c r="O165" s="15">
        <f>SUMIF('08.08'!$B$4:$B$11,A161,'08.08'!$C$4:$C$11)+SUMIF('08.08'!$D$4:$D$11,A161,'08.08'!$E$4:$E$11)+SUMIF('08.08'!$F$4:$F$11,A161,'08.08'!$G$4:$G$11)+SUMIF('08.08'!$H$4:$H$11,A161,'08.08'!$I$4:$I$11)+SUMIF('08.08'!$J$4:$J$11,A161,'08.08'!$K$4:$K$11)+SUMIF('08.08'!$L$4:$L$11,A161,'08.08'!$M$4:$M$11)+SUMIF('08.08'!$N$4:$N$11,A161,'08.08'!$O$4:$O$11)</f>
        <v>0</v>
      </c>
      <c r="P165" s="15">
        <f>SUMIF('09.08'!$B$4:$B$11,A161,'09.08'!$C$4:$C$11)+SUMIF('09.08'!$D$4:$D$11,A161,'09.08'!$E$4:$E$11)+SUMIF('09.08'!$F$4:$F$11,A161,'09.08'!$G$4:$G$11)+SUMIF('09.08'!$H$4:$H$11,A161,'09.08'!$I$4:$I$11)+SUMIF('09.08'!$J$4:$J$11,A161,'09.08'!$K$4:$K$11)+SUMIF('09.08'!$L$4:$L$11,A161,'09.08'!$M$4:$M$11)+SUMIF('09.08'!$N$4:$N$11,A161,'09.08'!$O$4:$O$11)</f>
        <v>0</v>
      </c>
      <c r="Q165" s="15">
        <f>SUMIF('10.08'!$B$4:$B$11,A161,'10.08'!$C$4:$C$11)+SUMIF('10.08'!$D$4:$D$11,A161,'10.08'!$E$4:$E$11)+SUMIF('10.08'!$F$4:$F$11,A161,'10.08'!$G$4:$G$11)+SUMIF('10.08'!$H$4:$H$11,A161,'10.08'!$I$4:$I$11)+SUMIF('10.08'!$J$4:$J$11,A161,'10.08'!$K$4:$K$11)+SUMIF('10.08'!$L$4:$L$11,A161,'10.08'!$M$4:$M$11)+SUMIF('10.08'!$N$4:$N$11,A161,'10.08'!$O$4:$O$11)</f>
        <v>0</v>
      </c>
      <c r="R165" s="16" t="str">
        <f t="shared" si="14"/>
        <v>#N/A</v>
      </c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</row>
    <row r="166">
      <c r="A166" s="39" t="str">
        <f>'список продуктов'!A186</f>
        <v/>
      </c>
      <c r="B166" s="39" t="str">
        <f>'список продуктов'!B186</f>
        <v/>
      </c>
      <c r="C166" s="39" t="str">
        <f>'список продуктов'!C186</f>
        <v/>
      </c>
      <c r="D166" s="39" t="str">
        <f>'список продуктов'!D186</f>
        <v/>
      </c>
      <c r="E166" s="39" t="str">
        <f>'список продуктов'!E186</f>
        <v/>
      </c>
      <c r="F166" s="47" t="str">
        <f t="shared" si="15"/>
        <v>#N/A</v>
      </c>
      <c r="G166" s="47" t="str">
        <f t="shared" si="10"/>
        <v>Введите занчения</v>
      </c>
      <c r="H166" s="48" t="str">
        <f t="shared" si="12"/>
        <v>Введите занчения</v>
      </c>
      <c r="I166" s="14">
        <f>SUMIF('02.08'!$B$4:$B$11,A162,'02.08'!$C$4:$C$11)+SUMIF('02.08'!$D$4:$D$11,A162,'02.08'!$E$4:$E$11)+SUMIF('02.08'!$F$4:$F$11,A162,'02.08'!$G$4:$G$11)+SUMIF('02.08'!$H$4:$H$11,A162,'02.08'!$I$4:$I$11)+SUMIF('02.08'!$J$4:$J$11,A162,'02.08'!$K$4:$K$11)+SUMIF('02.08'!$L$4:$L$11,A162,'02.08'!$M$4:$M$11)+SUMIF('02.08'!$N$4:$N$11,A162,'02.08'!$O$4:$O$11)</f>
        <v>0</v>
      </c>
      <c r="J166" s="15">
        <f>SUMIF('03.08'!$B$4:$B$11,A162,'03.08'!$C$4:$C$11)+SUMIF('03.08'!$D$4:$D$11,A162,'03.08'!$E$4:$E$11)+SUMIF('03.08'!$F$4:$F$11,A162,'03.08'!$G$4:$G$11)+SUMIF('03.08'!$H$4:$H$11,A162,'03.08'!$I$4:$I$11)+SUMIF('03.08'!$J$4:$J$11,A162,'03.08'!$K$4:$K$11)+SUMIF('03.08'!$L$4:$L$11,A162,'03.08'!$M$4:$M$11)+SUMIF('03.08'!$N$4:$N$11,A162,'03.08'!$O$4:$O$11)</f>
        <v>0</v>
      </c>
      <c r="K166" s="15">
        <f>SUMIF('04.08'!$B$4:$B$11,A162,'04.08'!$C$4:$C$11)+SUMIF('04.08'!$D$4:$D$11,A162,'04.08'!$E$4:$E$11)+SUMIF('04.08'!$F$4:$F$11,A162,'04.08'!$G$4:$G$11)+SUMIF('04.08'!$H$4:$H$11,A162,'04.08'!$I$4:$I$11)+SUMIF('04.08'!$J$4:$J$11,A162,'04.08'!$K$4:$K$11)+SUMIF('04.08'!$L$4:$L$11,A162,'04.08'!$M$4:$M$11)+SUMIF('04.08'!$N$4:$N$11,A162,'04.08'!$O$4:$O$11)</f>
        <v>0</v>
      </c>
      <c r="L166" s="15">
        <f>SUMIF('05.08'!$B$4:$B$11,A162,'05.08'!$C$4:$C$11)+SUMIF('05.08'!$D$4:$D$11,A162,'05.08'!$E$4:$E$11)+SUMIF('05.08'!$F$4:$F$11,A162,'05.08'!$G$4:$G$11)+SUMIF('05.08'!$H$4:$H$11,A162,'05.08'!$I$4:$I$11)+SUMIF('05.08'!$J$4:$J$11,A162,'05.08'!$K$4:$K$11)+SUMIF('05.08'!$L$4:$L$11,A162,'05.08'!$M$4:$M$11)+SUMIF('05.08'!$N$4:$N$11,A162,'05.08'!$O$4:$O$11)</f>
        <v>0</v>
      </c>
      <c r="M166" s="15">
        <f>SUMIF('06.08'!$B$4:$B$11,A162,'06.08'!$C$4:$C$11)+SUMIF('06.08'!$D$4:$D$11,A162,'06.08'!$E$4:$E$11)+SUMIF('06.08'!$F$4:$F$11,A162,'06.08'!$G$4:$G$11)+SUMIF('06.08'!$H$4:$H$11,A162,'06.08'!$I$4:$I$11)+SUMIF('06.08'!$J$4:$J$11,A162,'06.08'!$K$4:$K$11)+SUMIF('06.08'!$L$4:$L$11,A162,'06.08'!$M$4:$M$11)+SUMIF('06.08'!$N$4:$N$11,A162,'06.08'!$O$4:$O$11)</f>
        <v>0</v>
      </c>
      <c r="N166" s="15">
        <f>SUMIF('07.08'!$B$4:$B$11,A162,'07.08'!$C$4:$C$11)+SUMIF('07.08'!$D$4:$D$11,A162,'07.08'!$E$4:$E$11)+SUMIF('07.08'!$F$4:$F$11,A162,'07.08'!$G$4:$G$11)+SUMIF('07.08'!$H$4:$H$11,A162,'07.08'!$I$4:$I$11)+SUMIF('07.08'!$J$4:$J$11,A162,'07.08'!$K$4:$K$11)+SUMIF('07.08'!$L$4:$L$11,A162,'07.08'!$M$4:$M$11)+SUMIF('07.08'!$N$4:$N$11,A162,'07.08'!$O$4:$O$11)</f>
        <v>0</v>
      </c>
      <c r="O166" s="15">
        <f>SUMIF('08.08'!$B$4:$B$11,A162,'08.08'!$C$4:$C$11)+SUMIF('08.08'!$D$4:$D$11,A162,'08.08'!$E$4:$E$11)+SUMIF('08.08'!$F$4:$F$11,A162,'08.08'!$G$4:$G$11)+SUMIF('08.08'!$H$4:$H$11,A162,'08.08'!$I$4:$I$11)+SUMIF('08.08'!$J$4:$J$11,A162,'08.08'!$K$4:$K$11)+SUMIF('08.08'!$L$4:$L$11,A162,'08.08'!$M$4:$M$11)+SUMIF('08.08'!$N$4:$N$11,A162,'08.08'!$O$4:$O$11)</f>
        <v>0</v>
      </c>
      <c r="P166" s="15">
        <f>SUMIF('09.08'!$B$4:$B$11,A162,'09.08'!$C$4:$C$11)+SUMIF('09.08'!$D$4:$D$11,A162,'09.08'!$E$4:$E$11)+SUMIF('09.08'!$F$4:$F$11,A162,'09.08'!$G$4:$G$11)+SUMIF('09.08'!$H$4:$H$11,A162,'09.08'!$I$4:$I$11)+SUMIF('09.08'!$J$4:$J$11,A162,'09.08'!$K$4:$K$11)+SUMIF('09.08'!$L$4:$L$11,A162,'09.08'!$M$4:$M$11)+SUMIF('09.08'!$N$4:$N$11,A162,'09.08'!$O$4:$O$11)</f>
        <v>0</v>
      </c>
      <c r="Q166" s="15">
        <f>SUMIF('10.08'!$B$4:$B$11,A162,'10.08'!$C$4:$C$11)+SUMIF('10.08'!$D$4:$D$11,A162,'10.08'!$E$4:$E$11)+SUMIF('10.08'!$F$4:$F$11,A162,'10.08'!$G$4:$G$11)+SUMIF('10.08'!$H$4:$H$11,A162,'10.08'!$I$4:$I$11)+SUMIF('10.08'!$J$4:$J$11,A162,'10.08'!$K$4:$K$11)+SUMIF('10.08'!$L$4:$L$11,A162,'10.08'!$M$4:$M$11)+SUMIF('10.08'!$N$4:$N$11,A162,'10.08'!$O$4:$O$11)</f>
        <v>0</v>
      </c>
      <c r="R166" s="16" t="str">
        <f t="shared" si="14"/>
        <v>#N/A</v>
      </c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</row>
    <row r="167">
      <c r="A167" s="39" t="str">
        <f>'список продуктов'!A187</f>
        <v/>
      </c>
      <c r="B167" s="39" t="str">
        <f>'список продуктов'!B187</f>
        <v/>
      </c>
      <c r="C167" s="39" t="str">
        <f>'список продуктов'!C187</f>
        <v/>
      </c>
      <c r="D167" s="39" t="str">
        <f>'список продуктов'!D187</f>
        <v/>
      </c>
      <c r="E167" s="39" t="str">
        <f>'список продуктов'!E187</f>
        <v/>
      </c>
      <c r="F167" s="47" t="str">
        <f t="shared" si="15"/>
        <v>#N/A</v>
      </c>
      <c r="G167" s="47" t="str">
        <f t="shared" si="10"/>
        <v>Введите занчения</v>
      </c>
      <c r="H167" s="48" t="str">
        <f t="shared" si="12"/>
        <v>Введите занчения</v>
      </c>
      <c r="I167" s="14">
        <f>SUMIF('02.08'!$B$4:$B$11,A163,'02.08'!$C$4:$C$11)+SUMIF('02.08'!$D$4:$D$11,A163,'02.08'!$E$4:$E$11)+SUMIF('02.08'!$F$4:$F$11,A163,'02.08'!$G$4:$G$11)+SUMIF('02.08'!$H$4:$H$11,A163,'02.08'!$I$4:$I$11)+SUMIF('02.08'!$J$4:$J$11,A163,'02.08'!$K$4:$K$11)+SUMIF('02.08'!$L$4:$L$11,A163,'02.08'!$M$4:$M$11)+SUMIF('02.08'!$N$4:$N$11,A163,'02.08'!$O$4:$O$11)</f>
        <v>0</v>
      </c>
      <c r="J167" s="15">
        <f>SUMIF('03.08'!$B$4:$B$11,A163,'03.08'!$C$4:$C$11)+SUMIF('03.08'!$D$4:$D$11,A163,'03.08'!$E$4:$E$11)+SUMIF('03.08'!$F$4:$F$11,A163,'03.08'!$G$4:$G$11)+SUMIF('03.08'!$H$4:$H$11,A163,'03.08'!$I$4:$I$11)+SUMIF('03.08'!$J$4:$J$11,A163,'03.08'!$K$4:$K$11)+SUMIF('03.08'!$L$4:$L$11,A163,'03.08'!$M$4:$M$11)+SUMIF('03.08'!$N$4:$N$11,A163,'03.08'!$O$4:$O$11)</f>
        <v>0</v>
      </c>
      <c r="K167" s="15">
        <f>SUMIF('04.08'!$B$4:$B$11,A163,'04.08'!$C$4:$C$11)+SUMIF('04.08'!$D$4:$D$11,A163,'04.08'!$E$4:$E$11)+SUMIF('04.08'!$F$4:$F$11,A163,'04.08'!$G$4:$G$11)+SUMIF('04.08'!$H$4:$H$11,A163,'04.08'!$I$4:$I$11)+SUMIF('04.08'!$J$4:$J$11,A163,'04.08'!$K$4:$K$11)+SUMIF('04.08'!$L$4:$L$11,A163,'04.08'!$M$4:$M$11)+SUMIF('04.08'!$N$4:$N$11,A163,'04.08'!$O$4:$O$11)</f>
        <v>0</v>
      </c>
      <c r="L167" s="15">
        <f>SUMIF('05.08'!$B$4:$B$11,A163,'05.08'!$C$4:$C$11)+SUMIF('05.08'!$D$4:$D$11,A163,'05.08'!$E$4:$E$11)+SUMIF('05.08'!$F$4:$F$11,A163,'05.08'!$G$4:$G$11)+SUMIF('05.08'!$H$4:$H$11,A163,'05.08'!$I$4:$I$11)+SUMIF('05.08'!$J$4:$J$11,A163,'05.08'!$K$4:$K$11)+SUMIF('05.08'!$L$4:$L$11,A163,'05.08'!$M$4:$M$11)+SUMIF('05.08'!$N$4:$N$11,A163,'05.08'!$O$4:$O$11)</f>
        <v>0</v>
      </c>
      <c r="M167" s="15">
        <f>SUMIF('06.08'!$B$4:$B$11,A163,'06.08'!$C$4:$C$11)+SUMIF('06.08'!$D$4:$D$11,A163,'06.08'!$E$4:$E$11)+SUMIF('06.08'!$F$4:$F$11,A163,'06.08'!$G$4:$G$11)+SUMIF('06.08'!$H$4:$H$11,A163,'06.08'!$I$4:$I$11)+SUMIF('06.08'!$J$4:$J$11,A163,'06.08'!$K$4:$K$11)+SUMIF('06.08'!$L$4:$L$11,A163,'06.08'!$M$4:$M$11)+SUMIF('06.08'!$N$4:$N$11,A163,'06.08'!$O$4:$O$11)</f>
        <v>0</v>
      </c>
      <c r="N167" s="15">
        <f>SUMIF('07.08'!$B$4:$B$11,A163,'07.08'!$C$4:$C$11)+SUMIF('07.08'!$D$4:$D$11,A163,'07.08'!$E$4:$E$11)+SUMIF('07.08'!$F$4:$F$11,A163,'07.08'!$G$4:$G$11)+SUMIF('07.08'!$H$4:$H$11,A163,'07.08'!$I$4:$I$11)+SUMIF('07.08'!$J$4:$J$11,A163,'07.08'!$K$4:$K$11)+SUMIF('07.08'!$L$4:$L$11,A163,'07.08'!$M$4:$M$11)+SUMIF('07.08'!$N$4:$N$11,A163,'07.08'!$O$4:$O$11)</f>
        <v>0</v>
      </c>
      <c r="O167" s="15">
        <f>SUMIF('08.08'!$B$4:$B$11,A163,'08.08'!$C$4:$C$11)+SUMIF('08.08'!$D$4:$D$11,A163,'08.08'!$E$4:$E$11)+SUMIF('08.08'!$F$4:$F$11,A163,'08.08'!$G$4:$G$11)+SUMIF('08.08'!$H$4:$H$11,A163,'08.08'!$I$4:$I$11)+SUMIF('08.08'!$J$4:$J$11,A163,'08.08'!$K$4:$K$11)+SUMIF('08.08'!$L$4:$L$11,A163,'08.08'!$M$4:$M$11)+SUMIF('08.08'!$N$4:$N$11,A163,'08.08'!$O$4:$O$11)</f>
        <v>0</v>
      </c>
      <c r="P167" s="15">
        <f>SUMIF('09.08'!$B$4:$B$11,A163,'09.08'!$C$4:$C$11)+SUMIF('09.08'!$D$4:$D$11,A163,'09.08'!$E$4:$E$11)+SUMIF('09.08'!$F$4:$F$11,A163,'09.08'!$G$4:$G$11)+SUMIF('09.08'!$H$4:$H$11,A163,'09.08'!$I$4:$I$11)+SUMIF('09.08'!$J$4:$J$11,A163,'09.08'!$K$4:$K$11)+SUMIF('09.08'!$L$4:$L$11,A163,'09.08'!$M$4:$M$11)+SUMIF('09.08'!$N$4:$N$11,A163,'09.08'!$O$4:$O$11)</f>
        <v>0</v>
      </c>
      <c r="Q167" s="15">
        <f>SUMIF('10.08'!$B$4:$B$11,A163,'10.08'!$C$4:$C$11)+SUMIF('10.08'!$D$4:$D$11,A163,'10.08'!$E$4:$E$11)+SUMIF('10.08'!$F$4:$F$11,A163,'10.08'!$G$4:$G$11)+SUMIF('10.08'!$H$4:$H$11,A163,'10.08'!$I$4:$I$11)+SUMIF('10.08'!$J$4:$J$11,A163,'10.08'!$K$4:$K$11)+SUMIF('10.08'!$L$4:$L$11,A163,'10.08'!$M$4:$M$11)+SUMIF('10.08'!$N$4:$N$11,A163,'10.08'!$O$4:$O$11)</f>
        <v>0</v>
      </c>
      <c r="R167" s="16" t="str">
        <f t="shared" si="14"/>
        <v>#N/A</v>
      </c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</row>
    <row r="168">
      <c r="A168" s="39" t="str">
        <f>'список продуктов'!A188</f>
        <v/>
      </c>
      <c r="B168" s="39" t="str">
        <f>'список продуктов'!B188</f>
        <v/>
      </c>
      <c r="C168" s="39" t="str">
        <f>'список продуктов'!C188</f>
        <v/>
      </c>
      <c r="D168" s="39" t="str">
        <f>'список продуктов'!D188</f>
        <v/>
      </c>
      <c r="E168" s="39" t="str">
        <f>'список продуктов'!E188</f>
        <v/>
      </c>
      <c r="F168" s="47" t="str">
        <f t="shared" si="15"/>
        <v>#N/A</v>
      </c>
      <c r="G168" s="47" t="str">
        <f t="shared" si="10"/>
        <v>Введите занчения</v>
      </c>
      <c r="H168" s="48" t="str">
        <f t="shared" si="12"/>
        <v>Введите занчения</v>
      </c>
      <c r="I168" s="14">
        <f>SUMIF('02.08'!$B$4:$B$11,A164,'02.08'!$C$4:$C$11)+SUMIF('02.08'!$D$4:$D$11,A164,'02.08'!$E$4:$E$11)+SUMIF('02.08'!$F$4:$F$11,A164,'02.08'!$G$4:$G$11)+SUMIF('02.08'!$H$4:$H$11,A164,'02.08'!$I$4:$I$11)+SUMIF('02.08'!$J$4:$J$11,A164,'02.08'!$K$4:$K$11)+SUMIF('02.08'!$L$4:$L$11,A164,'02.08'!$M$4:$M$11)+SUMIF('02.08'!$N$4:$N$11,A164,'02.08'!$O$4:$O$11)</f>
        <v>0</v>
      </c>
      <c r="J168" s="15">
        <f>SUMIF('03.08'!$B$4:$B$11,A164,'03.08'!$C$4:$C$11)+SUMIF('03.08'!$D$4:$D$11,A164,'03.08'!$E$4:$E$11)+SUMIF('03.08'!$F$4:$F$11,A164,'03.08'!$G$4:$G$11)+SUMIF('03.08'!$H$4:$H$11,A164,'03.08'!$I$4:$I$11)+SUMIF('03.08'!$J$4:$J$11,A164,'03.08'!$K$4:$K$11)+SUMIF('03.08'!$L$4:$L$11,A164,'03.08'!$M$4:$M$11)+SUMIF('03.08'!$N$4:$N$11,A164,'03.08'!$O$4:$O$11)</f>
        <v>0</v>
      </c>
      <c r="K168" s="15">
        <f>SUMIF('04.08'!$B$4:$B$11,A164,'04.08'!$C$4:$C$11)+SUMIF('04.08'!$D$4:$D$11,A164,'04.08'!$E$4:$E$11)+SUMIF('04.08'!$F$4:$F$11,A164,'04.08'!$G$4:$G$11)+SUMIF('04.08'!$H$4:$H$11,A164,'04.08'!$I$4:$I$11)+SUMIF('04.08'!$J$4:$J$11,A164,'04.08'!$K$4:$K$11)+SUMIF('04.08'!$L$4:$L$11,A164,'04.08'!$M$4:$M$11)+SUMIF('04.08'!$N$4:$N$11,A164,'04.08'!$O$4:$O$11)</f>
        <v>0</v>
      </c>
      <c r="L168" s="15">
        <f>SUMIF('05.08'!$B$4:$B$11,A164,'05.08'!$C$4:$C$11)+SUMIF('05.08'!$D$4:$D$11,A164,'05.08'!$E$4:$E$11)+SUMIF('05.08'!$F$4:$F$11,A164,'05.08'!$G$4:$G$11)+SUMIF('05.08'!$H$4:$H$11,A164,'05.08'!$I$4:$I$11)+SUMIF('05.08'!$J$4:$J$11,A164,'05.08'!$K$4:$K$11)+SUMIF('05.08'!$L$4:$L$11,A164,'05.08'!$M$4:$M$11)+SUMIF('05.08'!$N$4:$N$11,A164,'05.08'!$O$4:$O$11)</f>
        <v>0</v>
      </c>
      <c r="M168" s="15">
        <f>SUMIF('06.08'!$B$4:$B$11,A164,'06.08'!$C$4:$C$11)+SUMIF('06.08'!$D$4:$D$11,A164,'06.08'!$E$4:$E$11)+SUMIF('06.08'!$F$4:$F$11,A164,'06.08'!$G$4:$G$11)+SUMIF('06.08'!$H$4:$H$11,A164,'06.08'!$I$4:$I$11)+SUMIF('06.08'!$J$4:$J$11,A164,'06.08'!$K$4:$K$11)+SUMIF('06.08'!$L$4:$L$11,A164,'06.08'!$M$4:$M$11)+SUMIF('06.08'!$N$4:$N$11,A164,'06.08'!$O$4:$O$11)</f>
        <v>0</v>
      </c>
      <c r="N168" s="15">
        <f>SUMIF('07.08'!$B$4:$B$11,A164,'07.08'!$C$4:$C$11)+SUMIF('07.08'!$D$4:$D$11,A164,'07.08'!$E$4:$E$11)+SUMIF('07.08'!$F$4:$F$11,A164,'07.08'!$G$4:$G$11)+SUMIF('07.08'!$H$4:$H$11,A164,'07.08'!$I$4:$I$11)+SUMIF('07.08'!$J$4:$J$11,A164,'07.08'!$K$4:$K$11)+SUMIF('07.08'!$L$4:$L$11,A164,'07.08'!$M$4:$M$11)+SUMIF('07.08'!$N$4:$N$11,A164,'07.08'!$O$4:$O$11)</f>
        <v>0</v>
      </c>
      <c r="O168" s="15">
        <f>SUMIF('08.08'!$B$4:$B$11,A164,'08.08'!$C$4:$C$11)+SUMIF('08.08'!$D$4:$D$11,A164,'08.08'!$E$4:$E$11)+SUMIF('08.08'!$F$4:$F$11,A164,'08.08'!$G$4:$G$11)+SUMIF('08.08'!$H$4:$H$11,A164,'08.08'!$I$4:$I$11)+SUMIF('08.08'!$J$4:$J$11,A164,'08.08'!$K$4:$K$11)+SUMIF('08.08'!$L$4:$L$11,A164,'08.08'!$M$4:$M$11)+SUMIF('08.08'!$N$4:$N$11,A164,'08.08'!$O$4:$O$11)</f>
        <v>0</v>
      </c>
      <c r="P168" s="15">
        <f>SUMIF('09.08'!$B$4:$B$11,A164,'09.08'!$C$4:$C$11)+SUMIF('09.08'!$D$4:$D$11,A164,'09.08'!$E$4:$E$11)+SUMIF('09.08'!$F$4:$F$11,A164,'09.08'!$G$4:$G$11)+SUMIF('09.08'!$H$4:$H$11,A164,'09.08'!$I$4:$I$11)+SUMIF('09.08'!$J$4:$J$11,A164,'09.08'!$K$4:$K$11)+SUMIF('09.08'!$L$4:$L$11,A164,'09.08'!$M$4:$M$11)+SUMIF('09.08'!$N$4:$N$11,A164,'09.08'!$O$4:$O$11)</f>
        <v>0</v>
      </c>
      <c r="Q168" s="15">
        <f>SUMIF('10.08'!$B$4:$B$11,A164,'10.08'!$C$4:$C$11)+SUMIF('10.08'!$D$4:$D$11,A164,'10.08'!$E$4:$E$11)+SUMIF('10.08'!$F$4:$F$11,A164,'10.08'!$G$4:$G$11)+SUMIF('10.08'!$H$4:$H$11,A164,'10.08'!$I$4:$I$11)+SUMIF('10.08'!$J$4:$J$11,A164,'10.08'!$K$4:$K$11)+SUMIF('10.08'!$L$4:$L$11,A164,'10.08'!$M$4:$M$11)+SUMIF('10.08'!$N$4:$N$11,A164,'10.08'!$O$4:$O$11)</f>
        <v>0</v>
      </c>
      <c r="R168" s="16" t="str">
        <f t="shared" si="14"/>
        <v>#N/A</v>
      </c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</row>
    <row r="169">
      <c r="A169" s="39" t="str">
        <f>'список продуктов'!A189</f>
        <v/>
      </c>
      <c r="B169" s="39" t="str">
        <f>'список продуктов'!B189</f>
        <v/>
      </c>
      <c r="C169" s="39" t="str">
        <f>'список продуктов'!C189</f>
        <v/>
      </c>
      <c r="D169" s="39" t="str">
        <f>'список продуктов'!D189</f>
        <v/>
      </c>
      <c r="E169" s="39" t="str">
        <f>'список продуктов'!E189</f>
        <v/>
      </c>
      <c r="F169" s="47" t="str">
        <f t="shared" si="15"/>
        <v>#N/A</v>
      </c>
      <c r="G169" s="47" t="str">
        <f t="shared" si="10"/>
        <v>Введите занчения</v>
      </c>
      <c r="H169" s="48" t="str">
        <f t="shared" si="12"/>
        <v>Введите занчения</v>
      </c>
      <c r="I169" s="14">
        <f>SUMIF('02.08'!$B$4:$B$11,A165,'02.08'!$C$4:$C$11)+SUMIF('02.08'!$D$4:$D$11,A165,'02.08'!$E$4:$E$11)+SUMIF('02.08'!$F$4:$F$11,A165,'02.08'!$G$4:$G$11)+SUMIF('02.08'!$H$4:$H$11,A165,'02.08'!$I$4:$I$11)+SUMIF('02.08'!$J$4:$J$11,A165,'02.08'!$K$4:$K$11)+SUMIF('02.08'!$L$4:$L$11,A165,'02.08'!$M$4:$M$11)+SUMIF('02.08'!$N$4:$N$11,A165,'02.08'!$O$4:$O$11)</f>
        <v>0</v>
      </c>
      <c r="J169" s="15">
        <f>SUMIF('03.08'!$B$4:$B$11,A165,'03.08'!$C$4:$C$11)+SUMIF('03.08'!$D$4:$D$11,A165,'03.08'!$E$4:$E$11)+SUMIF('03.08'!$F$4:$F$11,A165,'03.08'!$G$4:$G$11)+SUMIF('03.08'!$H$4:$H$11,A165,'03.08'!$I$4:$I$11)+SUMIF('03.08'!$J$4:$J$11,A165,'03.08'!$K$4:$K$11)+SUMIF('03.08'!$L$4:$L$11,A165,'03.08'!$M$4:$M$11)+SUMIF('03.08'!$N$4:$N$11,A165,'03.08'!$O$4:$O$11)</f>
        <v>0</v>
      </c>
      <c r="K169" s="15">
        <f>SUMIF('04.08'!$B$4:$B$11,A165,'04.08'!$C$4:$C$11)+SUMIF('04.08'!$D$4:$D$11,A165,'04.08'!$E$4:$E$11)+SUMIF('04.08'!$F$4:$F$11,A165,'04.08'!$G$4:$G$11)+SUMIF('04.08'!$H$4:$H$11,A165,'04.08'!$I$4:$I$11)+SUMIF('04.08'!$J$4:$J$11,A165,'04.08'!$K$4:$K$11)+SUMIF('04.08'!$L$4:$L$11,A165,'04.08'!$M$4:$M$11)+SUMIF('04.08'!$N$4:$N$11,A165,'04.08'!$O$4:$O$11)</f>
        <v>0</v>
      </c>
      <c r="L169" s="15">
        <f>SUMIF('05.08'!$B$4:$B$11,A165,'05.08'!$C$4:$C$11)+SUMIF('05.08'!$D$4:$D$11,A165,'05.08'!$E$4:$E$11)+SUMIF('05.08'!$F$4:$F$11,A165,'05.08'!$G$4:$G$11)+SUMIF('05.08'!$H$4:$H$11,A165,'05.08'!$I$4:$I$11)+SUMIF('05.08'!$J$4:$J$11,A165,'05.08'!$K$4:$K$11)+SUMIF('05.08'!$L$4:$L$11,A165,'05.08'!$M$4:$M$11)+SUMIF('05.08'!$N$4:$N$11,A165,'05.08'!$O$4:$O$11)</f>
        <v>0</v>
      </c>
      <c r="M169" s="15">
        <f>SUMIF('06.08'!$B$4:$B$11,A165,'06.08'!$C$4:$C$11)+SUMIF('06.08'!$D$4:$D$11,A165,'06.08'!$E$4:$E$11)+SUMIF('06.08'!$F$4:$F$11,A165,'06.08'!$G$4:$G$11)+SUMIF('06.08'!$H$4:$H$11,A165,'06.08'!$I$4:$I$11)+SUMIF('06.08'!$J$4:$J$11,A165,'06.08'!$K$4:$K$11)+SUMIF('06.08'!$L$4:$L$11,A165,'06.08'!$M$4:$M$11)+SUMIF('06.08'!$N$4:$N$11,A165,'06.08'!$O$4:$O$11)</f>
        <v>0</v>
      </c>
      <c r="N169" s="15">
        <f>SUMIF('07.08'!$B$4:$B$11,A165,'07.08'!$C$4:$C$11)+SUMIF('07.08'!$D$4:$D$11,A165,'07.08'!$E$4:$E$11)+SUMIF('07.08'!$F$4:$F$11,A165,'07.08'!$G$4:$G$11)+SUMIF('07.08'!$H$4:$H$11,A165,'07.08'!$I$4:$I$11)+SUMIF('07.08'!$J$4:$J$11,A165,'07.08'!$K$4:$K$11)+SUMIF('07.08'!$L$4:$L$11,A165,'07.08'!$M$4:$M$11)+SUMIF('07.08'!$N$4:$N$11,A165,'07.08'!$O$4:$O$11)</f>
        <v>0</v>
      </c>
      <c r="O169" s="15">
        <f>SUMIF('08.08'!$B$4:$B$11,A165,'08.08'!$C$4:$C$11)+SUMIF('08.08'!$D$4:$D$11,A165,'08.08'!$E$4:$E$11)+SUMIF('08.08'!$F$4:$F$11,A165,'08.08'!$G$4:$G$11)+SUMIF('08.08'!$H$4:$H$11,A165,'08.08'!$I$4:$I$11)+SUMIF('08.08'!$J$4:$J$11,A165,'08.08'!$K$4:$K$11)+SUMIF('08.08'!$L$4:$L$11,A165,'08.08'!$M$4:$M$11)+SUMIF('08.08'!$N$4:$N$11,A165,'08.08'!$O$4:$O$11)</f>
        <v>0</v>
      </c>
      <c r="P169" s="15">
        <f>SUMIF('09.08'!$B$4:$B$11,A165,'09.08'!$C$4:$C$11)+SUMIF('09.08'!$D$4:$D$11,A165,'09.08'!$E$4:$E$11)+SUMIF('09.08'!$F$4:$F$11,A165,'09.08'!$G$4:$G$11)+SUMIF('09.08'!$H$4:$H$11,A165,'09.08'!$I$4:$I$11)+SUMIF('09.08'!$J$4:$J$11,A165,'09.08'!$K$4:$K$11)+SUMIF('09.08'!$L$4:$L$11,A165,'09.08'!$M$4:$M$11)+SUMIF('09.08'!$N$4:$N$11,A165,'09.08'!$O$4:$O$11)</f>
        <v>0</v>
      </c>
      <c r="Q169" s="15">
        <f>SUMIF('10.08'!$B$4:$B$11,A165,'10.08'!$C$4:$C$11)+SUMIF('10.08'!$D$4:$D$11,A165,'10.08'!$E$4:$E$11)+SUMIF('10.08'!$F$4:$F$11,A165,'10.08'!$G$4:$G$11)+SUMIF('10.08'!$H$4:$H$11,A165,'10.08'!$I$4:$I$11)+SUMIF('10.08'!$J$4:$J$11,A165,'10.08'!$K$4:$K$11)+SUMIF('10.08'!$L$4:$L$11,A165,'10.08'!$M$4:$M$11)+SUMIF('10.08'!$N$4:$N$11,A165,'10.08'!$O$4:$O$11)</f>
        <v>0</v>
      </c>
      <c r="R169" s="16" t="str">
        <f t="shared" si="14"/>
        <v>#N/A</v>
      </c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</row>
    <row r="170">
      <c r="A170" s="39" t="str">
        <f>'список продуктов'!A190</f>
        <v/>
      </c>
      <c r="B170" s="39" t="str">
        <f>'список продуктов'!B190</f>
        <v/>
      </c>
      <c r="C170" s="39" t="str">
        <f>'список продуктов'!C190</f>
        <v/>
      </c>
      <c r="D170" s="39" t="str">
        <f>'список продуктов'!D190</f>
        <v/>
      </c>
      <c r="E170" s="39" t="str">
        <f>'список продуктов'!E190</f>
        <v/>
      </c>
      <c r="F170" s="47" t="str">
        <f t="shared" si="15"/>
        <v>#N/A</v>
      </c>
      <c r="G170" s="47" t="str">
        <f t="shared" si="10"/>
        <v>Введите занчения</v>
      </c>
      <c r="H170" s="48" t="str">
        <f t="shared" si="12"/>
        <v>Введите занчения</v>
      </c>
      <c r="I170" s="14">
        <f>SUMIF('02.08'!$B$4:$B$11,A166,'02.08'!$C$4:$C$11)+SUMIF('02.08'!$D$4:$D$11,A166,'02.08'!$E$4:$E$11)+SUMIF('02.08'!$F$4:$F$11,A166,'02.08'!$G$4:$G$11)+SUMIF('02.08'!$H$4:$H$11,A166,'02.08'!$I$4:$I$11)+SUMIF('02.08'!$J$4:$J$11,A166,'02.08'!$K$4:$K$11)+SUMIF('02.08'!$L$4:$L$11,A166,'02.08'!$M$4:$M$11)+SUMIF('02.08'!$N$4:$N$11,A166,'02.08'!$O$4:$O$11)</f>
        <v>0</v>
      </c>
      <c r="J170" s="15">
        <f>SUMIF('03.08'!$B$4:$B$11,A166,'03.08'!$C$4:$C$11)+SUMIF('03.08'!$D$4:$D$11,A166,'03.08'!$E$4:$E$11)+SUMIF('03.08'!$F$4:$F$11,A166,'03.08'!$G$4:$G$11)+SUMIF('03.08'!$H$4:$H$11,A166,'03.08'!$I$4:$I$11)+SUMIF('03.08'!$J$4:$J$11,A166,'03.08'!$K$4:$K$11)+SUMIF('03.08'!$L$4:$L$11,A166,'03.08'!$M$4:$M$11)+SUMIF('03.08'!$N$4:$N$11,A166,'03.08'!$O$4:$O$11)</f>
        <v>0</v>
      </c>
      <c r="K170" s="15">
        <f>SUMIF('04.08'!$B$4:$B$11,A166,'04.08'!$C$4:$C$11)+SUMIF('04.08'!$D$4:$D$11,A166,'04.08'!$E$4:$E$11)+SUMIF('04.08'!$F$4:$F$11,A166,'04.08'!$G$4:$G$11)+SUMIF('04.08'!$H$4:$H$11,A166,'04.08'!$I$4:$I$11)+SUMIF('04.08'!$J$4:$J$11,A166,'04.08'!$K$4:$K$11)+SUMIF('04.08'!$L$4:$L$11,A166,'04.08'!$M$4:$M$11)+SUMIF('04.08'!$N$4:$N$11,A166,'04.08'!$O$4:$O$11)</f>
        <v>0</v>
      </c>
      <c r="L170" s="15">
        <f>SUMIF('05.08'!$B$4:$B$11,A166,'05.08'!$C$4:$C$11)+SUMIF('05.08'!$D$4:$D$11,A166,'05.08'!$E$4:$E$11)+SUMIF('05.08'!$F$4:$F$11,A166,'05.08'!$G$4:$G$11)+SUMIF('05.08'!$H$4:$H$11,A166,'05.08'!$I$4:$I$11)+SUMIF('05.08'!$J$4:$J$11,A166,'05.08'!$K$4:$K$11)+SUMIF('05.08'!$L$4:$L$11,A166,'05.08'!$M$4:$M$11)+SUMIF('05.08'!$N$4:$N$11,A166,'05.08'!$O$4:$O$11)</f>
        <v>0</v>
      </c>
      <c r="M170" s="15">
        <f>SUMIF('06.08'!$B$4:$B$11,A166,'06.08'!$C$4:$C$11)+SUMIF('06.08'!$D$4:$D$11,A166,'06.08'!$E$4:$E$11)+SUMIF('06.08'!$F$4:$F$11,A166,'06.08'!$G$4:$G$11)+SUMIF('06.08'!$H$4:$H$11,A166,'06.08'!$I$4:$I$11)+SUMIF('06.08'!$J$4:$J$11,A166,'06.08'!$K$4:$K$11)+SUMIF('06.08'!$L$4:$L$11,A166,'06.08'!$M$4:$M$11)+SUMIF('06.08'!$N$4:$N$11,A166,'06.08'!$O$4:$O$11)</f>
        <v>0</v>
      </c>
      <c r="N170" s="15">
        <f>SUMIF('07.08'!$B$4:$B$11,A166,'07.08'!$C$4:$C$11)+SUMIF('07.08'!$D$4:$D$11,A166,'07.08'!$E$4:$E$11)+SUMIF('07.08'!$F$4:$F$11,A166,'07.08'!$G$4:$G$11)+SUMIF('07.08'!$H$4:$H$11,A166,'07.08'!$I$4:$I$11)+SUMIF('07.08'!$J$4:$J$11,A166,'07.08'!$K$4:$K$11)+SUMIF('07.08'!$L$4:$L$11,A166,'07.08'!$M$4:$M$11)+SUMIF('07.08'!$N$4:$N$11,A166,'07.08'!$O$4:$O$11)</f>
        <v>0</v>
      </c>
      <c r="O170" s="15">
        <f>SUMIF('08.08'!$B$4:$B$11,A166,'08.08'!$C$4:$C$11)+SUMIF('08.08'!$D$4:$D$11,A166,'08.08'!$E$4:$E$11)+SUMIF('08.08'!$F$4:$F$11,A166,'08.08'!$G$4:$G$11)+SUMIF('08.08'!$H$4:$H$11,A166,'08.08'!$I$4:$I$11)+SUMIF('08.08'!$J$4:$J$11,A166,'08.08'!$K$4:$K$11)+SUMIF('08.08'!$L$4:$L$11,A166,'08.08'!$M$4:$M$11)+SUMIF('08.08'!$N$4:$N$11,A166,'08.08'!$O$4:$O$11)</f>
        <v>0</v>
      </c>
      <c r="P170" s="15">
        <f>SUMIF('09.08'!$B$4:$B$11,A166,'09.08'!$C$4:$C$11)+SUMIF('09.08'!$D$4:$D$11,A166,'09.08'!$E$4:$E$11)+SUMIF('09.08'!$F$4:$F$11,A166,'09.08'!$G$4:$G$11)+SUMIF('09.08'!$H$4:$H$11,A166,'09.08'!$I$4:$I$11)+SUMIF('09.08'!$J$4:$J$11,A166,'09.08'!$K$4:$K$11)+SUMIF('09.08'!$L$4:$L$11,A166,'09.08'!$M$4:$M$11)+SUMIF('09.08'!$N$4:$N$11,A166,'09.08'!$O$4:$O$11)</f>
        <v>0</v>
      </c>
      <c r="Q170" s="15">
        <f>SUMIF('10.08'!$B$4:$B$11,A166,'10.08'!$C$4:$C$11)+SUMIF('10.08'!$D$4:$D$11,A166,'10.08'!$E$4:$E$11)+SUMIF('10.08'!$F$4:$F$11,A166,'10.08'!$G$4:$G$11)+SUMIF('10.08'!$H$4:$H$11,A166,'10.08'!$I$4:$I$11)+SUMIF('10.08'!$J$4:$J$11,A166,'10.08'!$K$4:$K$11)+SUMIF('10.08'!$L$4:$L$11,A166,'10.08'!$M$4:$M$11)+SUMIF('10.08'!$N$4:$N$11,A166,'10.08'!$O$4:$O$11)</f>
        <v>0</v>
      </c>
      <c r="R170" s="16" t="str">
        <f t="shared" si="14"/>
        <v>#N/A</v>
      </c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</row>
    <row r="171">
      <c r="A171" s="39" t="str">
        <f>'список продуктов'!A191</f>
        <v/>
      </c>
      <c r="B171" s="39" t="str">
        <f>'список продуктов'!B191</f>
        <v/>
      </c>
      <c r="C171" s="39" t="str">
        <f>'список продуктов'!C191</f>
        <v/>
      </c>
      <c r="D171" s="39" t="str">
        <f>'список продуктов'!D191</f>
        <v/>
      </c>
      <c r="E171" s="39" t="str">
        <f>'список продуктов'!E191</f>
        <v/>
      </c>
      <c r="F171" s="47" t="str">
        <f t="shared" si="15"/>
        <v>#N/A</v>
      </c>
      <c r="G171" s="47" t="str">
        <f t="shared" si="10"/>
        <v>Введите занчения</v>
      </c>
      <c r="H171" s="48" t="str">
        <f t="shared" si="12"/>
        <v>Введите занчения</v>
      </c>
      <c r="I171" s="14">
        <f>SUMIF('02.08'!$B$4:$B$11,A167,'02.08'!$C$4:$C$11)+SUMIF('02.08'!$D$4:$D$11,A167,'02.08'!$E$4:$E$11)+SUMIF('02.08'!$F$4:$F$11,A167,'02.08'!$G$4:$G$11)+SUMIF('02.08'!$H$4:$H$11,A167,'02.08'!$I$4:$I$11)+SUMIF('02.08'!$J$4:$J$11,A167,'02.08'!$K$4:$K$11)+SUMIF('02.08'!$L$4:$L$11,A167,'02.08'!$M$4:$M$11)+SUMIF('02.08'!$N$4:$N$11,A167,'02.08'!$O$4:$O$11)</f>
        <v>0</v>
      </c>
      <c r="J171" s="15">
        <f>SUMIF('03.08'!$B$4:$B$11,A167,'03.08'!$C$4:$C$11)+SUMIF('03.08'!$D$4:$D$11,A167,'03.08'!$E$4:$E$11)+SUMIF('03.08'!$F$4:$F$11,A167,'03.08'!$G$4:$G$11)+SUMIF('03.08'!$H$4:$H$11,A167,'03.08'!$I$4:$I$11)+SUMIF('03.08'!$J$4:$J$11,A167,'03.08'!$K$4:$K$11)+SUMIF('03.08'!$L$4:$L$11,A167,'03.08'!$M$4:$M$11)+SUMIF('03.08'!$N$4:$N$11,A167,'03.08'!$O$4:$O$11)</f>
        <v>0</v>
      </c>
      <c r="K171" s="15">
        <f>SUMIF('04.08'!$B$4:$B$11,A167,'04.08'!$C$4:$C$11)+SUMIF('04.08'!$D$4:$D$11,A167,'04.08'!$E$4:$E$11)+SUMIF('04.08'!$F$4:$F$11,A167,'04.08'!$G$4:$G$11)+SUMIF('04.08'!$H$4:$H$11,A167,'04.08'!$I$4:$I$11)+SUMIF('04.08'!$J$4:$J$11,A167,'04.08'!$K$4:$K$11)+SUMIF('04.08'!$L$4:$L$11,A167,'04.08'!$M$4:$M$11)+SUMIF('04.08'!$N$4:$N$11,A167,'04.08'!$O$4:$O$11)</f>
        <v>0</v>
      </c>
      <c r="L171" s="15">
        <f>SUMIF('05.08'!$B$4:$B$11,A167,'05.08'!$C$4:$C$11)+SUMIF('05.08'!$D$4:$D$11,A167,'05.08'!$E$4:$E$11)+SUMIF('05.08'!$F$4:$F$11,A167,'05.08'!$G$4:$G$11)+SUMIF('05.08'!$H$4:$H$11,A167,'05.08'!$I$4:$I$11)+SUMIF('05.08'!$J$4:$J$11,A167,'05.08'!$K$4:$K$11)+SUMIF('05.08'!$L$4:$L$11,A167,'05.08'!$M$4:$M$11)+SUMIF('05.08'!$N$4:$N$11,A167,'05.08'!$O$4:$O$11)</f>
        <v>0</v>
      </c>
      <c r="M171" s="15">
        <f>SUMIF('06.08'!$B$4:$B$11,A167,'06.08'!$C$4:$C$11)+SUMIF('06.08'!$D$4:$D$11,A167,'06.08'!$E$4:$E$11)+SUMIF('06.08'!$F$4:$F$11,A167,'06.08'!$G$4:$G$11)+SUMIF('06.08'!$H$4:$H$11,A167,'06.08'!$I$4:$I$11)+SUMIF('06.08'!$J$4:$J$11,A167,'06.08'!$K$4:$K$11)+SUMIF('06.08'!$L$4:$L$11,A167,'06.08'!$M$4:$M$11)+SUMIF('06.08'!$N$4:$N$11,A167,'06.08'!$O$4:$O$11)</f>
        <v>0</v>
      </c>
      <c r="N171" s="15">
        <f>SUMIF('07.08'!$B$4:$B$11,A167,'07.08'!$C$4:$C$11)+SUMIF('07.08'!$D$4:$D$11,A167,'07.08'!$E$4:$E$11)+SUMIF('07.08'!$F$4:$F$11,A167,'07.08'!$G$4:$G$11)+SUMIF('07.08'!$H$4:$H$11,A167,'07.08'!$I$4:$I$11)+SUMIF('07.08'!$J$4:$J$11,A167,'07.08'!$K$4:$K$11)+SUMIF('07.08'!$L$4:$L$11,A167,'07.08'!$M$4:$M$11)+SUMIF('07.08'!$N$4:$N$11,A167,'07.08'!$O$4:$O$11)</f>
        <v>0</v>
      </c>
      <c r="O171" s="15">
        <f>SUMIF('08.08'!$B$4:$B$11,A167,'08.08'!$C$4:$C$11)+SUMIF('08.08'!$D$4:$D$11,A167,'08.08'!$E$4:$E$11)+SUMIF('08.08'!$F$4:$F$11,A167,'08.08'!$G$4:$G$11)+SUMIF('08.08'!$H$4:$H$11,A167,'08.08'!$I$4:$I$11)+SUMIF('08.08'!$J$4:$J$11,A167,'08.08'!$K$4:$K$11)+SUMIF('08.08'!$L$4:$L$11,A167,'08.08'!$M$4:$M$11)+SUMIF('08.08'!$N$4:$N$11,A167,'08.08'!$O$4:$O$11)</f>
        <v>0</v>
      </c>
      <c r="P171" s="15">
        <f>SUMIF('09.08'!$B$4:$B$11,A167,'09.08'!$C$4:$C$11)+SUMIF('09.08'!$D$4:$D$11,A167,'09.08'!$E$4:$E$11)+SUMIF('09.08'!$F$4:$F$11,A167,'09.08'!$G$4:$G$11)+SUMIF('09.08'!$H$4:$H$11,A167,'09.08'!$I$4:$I$11)+SUMIF('09.08'!$J$4:$J$11,A167,'09.08'!$K$4:$K$11)+SUMIF('09.08'!$L$4:$L$11,A167,'09.08'!$M$4:$M$11)+SUMIF('09.08'!$N$4:$N$11,A167,'09.08'!$O$4:$O$11)</f>
        <v>0</v>
      </c>
      <c r="Q171" s="15">
        <f>SUMIF('10.08'!$B$4:$B$11,A167,'10.08'!$C$4:$C$11)+SUMIF('10.08'!$D$4:$D$11,A167,'10.08'!$E$4:$E$11)+SUMIF('10.08'!$F$4:$F$11,A167,'10.08'!$G$4:$G$11)+SUMIF('10.08'!$H$4:$H$11,A167,'10.08'!$I$4:$I$11)+SUMIF('10.08'!$J$4:$J$11,A167,'10.08'!$K$4:$K$11)+SUMIF('10.08'!$L$4:$L$11,A167,'10.08'!$M$4:$M$11)+SUMIF('10.08'!$N$4:$N$11,A167,'10.08'!$O$4:$O$11)</f>
        <v>0</v>
      </c>
      <c r="R171" s="16" t="str">
        <f t="shared" si="14"/>
        <v>#N/A</v>
      </c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</row>
    <row r="172">
      <c r="A172" s="39" t="str">
        <f>'список продуктов'!A192</f>
        <v/>
      </c>
      <c r="B172" s="39" t="str">
        <f>'список продуктов'!B192</f>
        <v/>
      </c>
      <c r="C172" s="39" t="str">
        <f>'список продуктов'!C192</f>
        <v/>
      </c>
      <c r="D172" s="39" t="str">
        <f>'список продуктов'!D192</f>
        <v/>
      </c>
      <c r="E172" s="39" t="str">
        <f>'список продуктов'!E192</f>
        <v/>
      </c>
      <c r="F172" s="47" t="str">
        <f t="shared" si="15"/>
        <v>#N/A</v>
      </c>
      <c r="G172" s="47" t="str">
        <f t="shared" si="10"/>
        <v>Введите занчения</v>
      </c>
      <c r="H172" s="48" t="str">
        <f t="shared" si="12"/>
        <v>Введите занчения</v>
      </c>
      <c r="I172" s="14">
        <f>SUMIF('02.08'!$B$4:$B$11,A168,'02.08'!$C$4:$C$11)+SUMIF('02.08'!$D$4:$D$11,A168,'02.08'!$E$4:$E$11)+SUMIF('02.08'!$F$4:$F$11,A168,'02.08'!$G$4:$G$11)+SUMIF('02.08'!$H$4:$H$11,A168,'02.08'!$I$4:$I$11)+SUMIF('02.08'!$J$4:$J$11,A168,'02.08'!$K$4:$K$11)+SUMIF('02.08'!$L$4:$L$11,A168,'02.08'!$M$4:$M$11)+SUMIF('02.08'!$N$4:$N$11,A168,'02.08'!$O$4:$O$11)</f>
        <v>0</v>
      </c>
      <c r="J172" s="15">
        <f>SUMIF('03.08'!$B$4:$B$11,A168,'03.08'!$C$4:$C$11)+SUMIF('03.08'!$D$4:$D$11,A168,'03.08'!$E$4:$E$11)+SUMIF('03.08'!$F$4:$F$11,A168,'03.08'!$G$4:$G$11)+SUMIF('03.08'!$H$4:$H$11,A168,'03.08'!$I$4:$I$11)+SUMIF('03.08'!$J$4:$J$11,A168,'03.08'!$K$4:$K$11)+SUMIF('03.08'!$L$4:$L$11,A168,'03.08'!$M$4:$M$11)+SUMIF('03.08'!$N$4:$N$11,A168,'03.08'!$O$4:$O$11)</f>
        <v>0</v>
      </c>
      <c r="K172" s="15">
        <f>SUMIF('04.08'!$B$4:$B$11,A168,'04.08'!$C$4:$C$11)+SUMIF('04.08'!$D$4:$D$11,A168,'04.08'!$E$4:$E$11)+SUMIF('04.08'!$F$4:$F$11,A168,'04.08'!$G$4:$G$11)+SUMIF('04.08'!$H$4:$H$11,A168,'04.08'!$I$4:$I$11)+SUMIF('04.08'!$J$4:$J$11,A168,'04.08'!$K$4:$K$11)+SUMIF('04.08'!$L$4:$L$11,A168,'04.08'!$M$4:$M$11)+SUMIF('04.08'!$N$4:$N$11,A168,'04.08'!$O$4:$O$11)</f>
        <v>0</v>
      </c>
      <c r="L172" s="15">
        <f>SUMIF('05.08'!$B$4:$B$11,A168,'05.08'!$C$4:$C$11)+SUMIF('05.08'!$D$4:$D$11,A168,'05.08'!$E$4:$E$11)+SUMIF('05.08'!$F$4:$F$11,A168,'05.08'!$G$4:$G$11)+SUMIF('05.08'!$H$4:$H$11,A168,'05.08'!$I$4:$I$11)+SUMIF('05.08'!$J$4:$J$11,A168,'05.08'!$K$4:$K$11)+SUMIF('05.08'!$L$4:$L$11,A168,'05.08'!$M$4:$M$11)+SUMIF('05.08'!$N$4:$N$11,A168,'05.08'!$O$4:$O$11)</f>
        <v>0</v>
      </c>
      <c r="M172" s="15">
        <f>SUMIF('06.08'!$B$4:$B$11,A168,'06.08'!$C$4:$C$11)+SUMIF('06.08'!$D$4:$D$11,A168,'06.08'!$E$4:$E$11)+SUMIF('06.08'!$F$4:$F$11,A168,'06.08'!$G$4:$G$11)+SUMIF('06.08'!$H$4:$H$11,A168,'06.08'!$I$4:$I$11)+SUMIF('06.08'!$J$4:$J$11,A168,'06.08'!$K$4:$K$11)+SUMIF('06.08'!$L$4:$L$11,A168,'06.08'!$M$4:$M$11)+SUMIF('06.08'!$N$4:$N$11,A168,'06.08'!$O$4:$O$11)</f>
        <v>0</v>
      </c>
      <c r="N172" s="15">
        <f>SUMIF('07.08'!$B$4:$B$11,A168,'07.08'!$C$4:$C$11)+SUMIF('07.08'!$D$4:$D$11,A168,'07.08'!$E$4:$E$11)+SUMIF('07.08'!$F$4:$F$11,A168,'07.08'!$G$4:$G$11)+SUMIF('07.08'!$H$4:$H$11,A168,'07.08'!$I$4:$I$11)+SUMIF('07.08'!$J$4:$J$11,A168,'07.08'!$K$4:$K$11)+SUMIF('07.08'!$L$4:$L$11,A168,'07.08'!$M$4:$M$11)+SUMIF('07.08'!$N$4:$N$11,A168,'07.08'!$O$4:$O$11)</f>
        <v>0</v>
      </c>
      <c r="O172" s="15">
        <f>SUMIF('08.08'!$B$4:$B$11,A168,'08.08'!$C$4:$C$11)+SUMIF('08.08'!$D$4:$D$11,A168,'08.08'!$E$4:$E$11)+SUMIF('08.08'!$F$4:$F$11,A168,'08.08'!$G$4:$G$11)+SUMIF('08.08'!$H$4:$H$11,A168,'08.08'!$I$4:$I$11)+SUMIF('08.08'!$J$4:$J$11,A168,'08.08'!$K$4:$K$11)+SUMIF('08.08'!$L$4:$L$11,A168,'08.08'!$M$4:$M$11)+SUMIF('08.08'!$N$4:$N$11,A168,'08.08'!$O$4:$O$11)</f>
        <v>0</v>
      </c>
      <c r="P172" s="15">
        <f>SUMIF('09.08'!$B$4:$B$11,A168,'09.08'!$C$4:$C$11)+SUMIF('09.08'!$D$4:$D$11,A168,'09.08'!$E$4:$E$11)+SUMIF('09.08'!$F$4:$F$11,A168,'09.08'!$G$4:$G$11)+SUMIF('09.08'!$H$4:$H$11,A168,'09.08'!$I$4:$I$11)+SUMIF('09.08'!$J$4:$J$11,A168,'09.08'!$K$4:$K$11)+SUMIF('09.08'!$L$4:$L$11,A168,'09.08'!$M$4:$M$11)+SUMIF('09.08'!$N$4:$N$11,A168,'09.08'!$O$4:$O$11)</f>
        <v>0</v>
      </c>
      <c r="Q172" s="15">
        <f>SUMIF('10.08'!$B$4:$B$11,A168,'10.08'!$C$4:$C$11)+SUMIF('10.08'!$D$4:$D$11,A168,'10.08'!$E$4:$E$11)+SUMIF('10.08'!$F$4:$F$11,A168,'10.08'!$G$4:$G$11)+SUMIF('10.08'!$H$4:$H$11,A168,'10.08'!$I$4:$I$11)+SUMIF('10.08'!$J$4:$J$11,A168,'10.08'!$K$4:$K$11)+SUMIF('10.08'!$L$4:$L$11,A168,'10.08'!$M$4:$M$11)+SUMIF('10.08'!$N$4:$N$11,A168,'10.08'!$O$4:$O$11)</f>
        <v>0</v>
      </c>
      <c r="R172" s="16" t="str">
        <f t="shared" si="14"/>
        <v>#N/A</v>
      </c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</row>
    <row r="173">
      <c r="A173" s="39" t="str">
        <f>'список продуктов'!A193</f>
        <v/>
      </c>
      <c r="B173" s="39" t="str">
        <f>'список продуктов'!B193</f>
        <v/>
      </c>
      <c r="C173" s="39" t="str">
        <f>'список продуктов'!C193</f>
        <v/>
      </c>
      <c r="D173" s="39" t="str">
        <f>'список продуктов'!D193</f>
        <v/>
      </c>
      <c r="E173" s="39" t="str">
        <f>'список продуктов'!E193</f>
        <v/>
      </c>
      <c r="F173" s="47" t="str">
        <f t="shared" si="15"/>
        <v>#N/A</v>
      </c>
      <c r="G173" s="47" t="str">
        <f t="shared" si="10"/>
        <v>Введите занчения</v>
      </c>
      <c r="H173" s="48" t="str">
        <f t="shared" si="12"/>
        <v>Введите занчения</v>
      </c>
      <c r="I173" s="14">
        <f>SUMIF('02.08'!$B$4:$B$11,A169,'02.08'!$C$4:$C$11)+SUMIF('02.08'!$D$4:$D$11,A169,'02.08'!$E$4:$E$11)+SUMIF('02.08'!$F$4:$F$11,A169,'02.08'!$G$4:$G$11)+SUMIF('02.08'!$H$4:$H$11,A169,'02.08'!$I$4:$I$11)+SUMIF('02.08'!$J$4:$J$11,A169,'02.08'!$K$4:$K$11)+SUMIF('02.08'!$L$4:$L$11,A169,'02.08'!$M$4:$M$11)+SUMIF('02.08'!$N$4:$N$11,A169,'02.08'!$O$4:$O$11)</f>
        <v>0</v>
      </c>
      <c r="J173" s="15">
        <f>SUMIF('03.08'!$B$4:$B$11,A169,'03.08'!$C$4:$C$11)+SUMIF('03.08'!$D$4:$D$11,A169,'03.08'!$E$4:$E$11)+SUMIF('03.08'!$F$4:$F$11,A169,'03.08'!$G$4:$G$11)+SUMIF('03.08'!$H$4:$H$11,A169,'03.08'!$I$4:$I$11)+SUMIF('03.08'!$J$4:$J$11,A169,'03.08'!$K$4:$K$11)+SUMIF('03.08'!$L$4:$L$11,A169,'03.08'!$M$4:$M$11)+SUMIF('03.08'!$N$4:$N$11,A169,'03.08'!$O$4:$O$11)</f>
        <v>0</v>
      </c>
      <c r="K173" s="15">
        <f>SUMIF('04.08'!$B$4:$B$11,A169,'04.08'!$C$4:$C$11)+SUMIF('04.08'!$D$4:$D$11,A169,'04.08'!$E$4:$E$11)+SUMIF('04.08'!$F$4:$F$11,A169,'04.08'!$G$4:$G$11)+SUMIF('04.08'!$H$4:$H$11,A169,'04.08'!$I$4:$I$11)+SUMIF('04.08'!$J$4:$J$11,A169,'04.08'!$K$4:$K$11)+SUMIF('04.08'!$L$4:$L$11,A169,'04.08'!$M$4:$M$11)+SUMIF('04.08'!$N$4:$N$11,A169,'04.08'!$O$4:$O$11)</f>
        <v>0</v>
      </c>
      <c r="L173" s="15">
        <f>SUMIF('05.08'!$B$4:$B$11,A169,'05.08'!$C$4:$C$11)+SUMIF('05.08'!$D$4:$D$11,A169,'05.08'!$E$4:$E$11)+SUMIF('05.08'!$F$4:$F$11,A169,'05.08'!$G$4:$G$11)+SUMIF('05.08'!$H$4:$H$11,A169,'05.08'!$I$4:$I$11)+SUMIF('05.08'!$J$4:$J$11,A169,'05.08'!$K$4:$K$11)+SUMIF('05.08'!$L$4:$L$11,A169,'05.08'!$M$4:$M$11)+SUMIF('05.08'!$N$4:$N$11,A169,'05.08'!$O$4:$O$11)</f>
        <v>0</v>
      </c>
      <c r="M173" s="15">
        <f>SUMIF('06.08'!$B$4:$B$11,A169,'06.08'!$C$4:$C$11)+SUMIF('06.08'!$D$4:$D$11,A169,'06.08'!$E$4:$E$11)+SUMIF('06.08'!$F$4:$F$11,A169,'06.08'!$G$4:$G$11)+SUMIF('06.08'!$H$4:$H$11,A169,'06.08'!$I$4:$I$11)+SUMIF('06.08'!$J$4:$J$11,A169,'06.08'!$K$4:$K$11)+SUMIF('06.08'!$L$4:$L$11,A169,'06.08'!$M$4:$M$11)+SUMIF('06.08'!$N$4:$N$11,A169,'06.08'!$O$4:$O$11)</f>
        <v>0</v>
      </c>
      <c r="N173" s="15">
        <f>SUMIF('07.08'!$B$4:$B$11,A169,'07.08'!$C$4:$C$11)+SUMIF('07.08'!$D$4:$D$11,A169,'07.08'!$E$4:$E$11)+SUMIF('07.08'!$F$4:$F$11,A169,'07.08'!$G$4:$G$11)+SUMIF('07.08'!$H$4:$H$11,A169,'07.08'!$I$4:$I$11)+SUMIF('07.08'!$J$4:$J$11,A169,'07.08'!$K$4:$K$11)+SUMIF('07.08'!$L$4:$L$11,A169,'07.08'!$M$4:$M$11)+SUMIF('07.08'!$N$4:$N$11,A169,'07.08'!$O$4:$O$11)</f>
        <v>0</v>
      </c>
      <c r="O173" s="15">
        <f>SUMIF('08.08'!$B$4:$B$11,A169,'08.08'!$C$4:$C$11)+SUMIF('08.08'!$D$4:$D$11,A169,'08.08'!$E$4:$E$11)+SUMIF('08.08'!$F$4:$F$11,A169,'08.08'!$G$4:$G$11)+SUMIF('08.08'!$H$4:$H$11,A169,'08.08'!$I$4:$I$11)+SUMIF('08.08'!$J$4:$J$11,A169,'08.08'!$K$4:$K$11)+SUMIF('08.08'!$L$4:$L$11,A169,'08.08'!$M$4:$M$11)+SUMIF('08.08'!$N$4:$N$11,A169,'08.08'!$O$4:$O$11)</f>
        <v>0</v>
      </c>
      <c r="P173" s="15">
        <f>SUMIF('09.08'!$B$4:$B$11,A169,'09.08'!$C$4:$C$11)+SUMIF('09.08'!$D$4:$D$11,A169,'09.08'!$E$4:$E$11)+SUMIF('09.08'!$F$4:$F$11,A169,'09.08'!$G$4:$G$11)+SUMIF('09.08'!$H$4:$H$11,A169,'09.08'!$I$4:$I$11)+SUMIF('09.08'!$J$4:$J$11,A169,'09.08'!$K$4:$K$11)+SUMIF('09.08'!$L$4:$L$11,A169,'09.08'!$M$4:$M$11)+SUMIF('09.08'!$N$4:$N$11,A169,'09.08'!$O$4:$O$11)</f>
        <v>0</v>
      </c>
      <c r="Q173" s="15">
        <f>SUMIF('10.08'!$B$4:$B$11,A169,'10.08'!$C$4:$C$11)+SUMIF('10.08'!$D$4:$D$11,A169,'10.08'!$E$4:$E$11)+SUMIF('10.08'!$F$4:$F$11,A169,'10.08'!$G$4:$G$11)+SUMIF('10.08'!$H$4:$H$11,A169,'10.08'!$I$4:$I$11)+SUMIF('10.08'!$J$4:$J$11,A169,'10.08'!$K$4:$K$11)+SUMIF('10.08'!$L$4:$L$11,A169,'10.08'!$M$4:$M$11)+SUMIF('10.08'!$N$4:$N$11,A169,'10.08'!$O$4:$O$11)</f>
        <v>0</v>
      </c>
      <c r="R173" s="16" t="str">
        <f t="shared" si="14"/>
        <v>#N/A</v>
      </c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</row>
    <row r="174">
      <c r="A174" s="39" t="str">
        <f>'список продуктов'!A194</f>
        <v/>
      </c>
      <c r="B174" s="39" t="str">
        <f>'список продуктов'!B194</f>
        <v/>
      </c>
      <c r="C174" s="39" t="str">
        <f>'список продуктов'!C194</f>
        <v/>
      </c>
      <c r="D174" s="39" t="str">
        <f>'список продуктов'!D194</f>
        <v/>
      </c>
      <c r="E174" s="39" t="str">
        <f>'список продуктов'!E194</f>
        <v/>
      </c>
      <c r="F174" s="47" t="str">
        <f t="shared" si="15"/>
        <v>#N/A</v>
      </c>
      <c r="G174" s="47" t="str">
        <f t="shared" si="10"/>
        <v>Введите занчения</v>
      </c>
      <c r="H174" s="48" t="str">
        <f t="shared" si="12"/>
        <v>Введите занчения</v>
      </c>
      <c r="I174" s="14">
        <f>SUMIF('02.08'!$B$4:$B$11,A170,'02.08'!$C$4:$C$11)+SUMIF('02.08'!$D$4:$D$11,A170,'02.08'!$E$4:$E$11)+SUMIF('02.08'!$F$4:$F$11,A170,'02.08'!$G$4:$G$11)+SUMIF('02.08'!$H$4:$H$11,A170,'02.08'!$I$4:$I$11)+SUMIF('02.08'!$J$4:$J$11,A170,'02.08'!$K$4:$K$11)+SUMIF('02.08'!$L$4:$L$11,A170,'02.08'!$M$4:$M$11)+SUMIF('02.08'!$N$4:$N$11,A170,'02.08'!$O$4:$O$11)</f>
        <v>0</v>
      </c>
      <c r="J174" s="15">
        <f>SUMIF('03.08'!$B$4:$B$11,A170,'03.08'!$C$4:$C$11)+SUMIF('03.08'!$D$4:$D$11,A170,'03.08'!$E$4:$E$11)+SUMIF('03.08'!$F$4:$F$11,A170,'03.08'!$G$4:$G$11)+SUMIF('03.08'!$H$4:$H$11,A170,'03.08'!$I$4:$I$11)+SUMIF('03.08'!$J$4:$J$11,A170,'03.08'!$K$4:$K$11)+SUMIF('03.08'!$L$4:$L$11,A170,'03.08'!$M$4:$M$11)+SUMIF('03.08'!$N$4:$N$11,A170,'03.08'!$O$4:$O$11)</f>
        <v>0</v>
      </c>
      <c r="K174" s="15">
        <f>SUMIF('04.08'!$B$4:$B$11,A170,'04.08'!$C$4:$C$11)+SUMIF('04.08'!$D$4:$D$11,A170,'04.08'!$E$4:$E$11)+SUMIF('04.08'!$F$4:$F$11,A170,'04.08'!$G$4:$G$11)+SUMIF('04.08'!$H$4:$H$11,A170,'04.08'!$I$4:$I$11)+SUMIF('04.08'!$J$4:$J$11,A170,'04.08'!$K$4:$K$11)+SUMIF('04.08'!$L$4:$L$11,A170,'04.08'!$M$4:$M$11)+SUMIF('04.08'!$N$4:$N$11,A170,'04.08'!$O$4:$O$11)</f>
        <v>0</v>
      </c>
      <c r="L174" s="15">
        <f>SUMIF('05.08'!$B$4:$B$11,A170,'05.08'!$C$4:$C$11)+SUMIF('05.08'!$D$4:$D$11,A170,'05.08'!$E$4:$E$11)+SUMIF('05.08'!$F$4:$F$11,A170,'05.08'!$G$4:$G$11)+SUMIF('05.08'!$H$4:$H$11,A170,'05.08'!$I$4:$I$11)+SUMIF('05.08'!$J$4:$J$11,A170,'05.08'!$K$4:$K$11)+SUMIF('05.08'!$L$4:$L$11,A170,'05.08'!$M$4:$M$11)+SUMIF('05.08'!$N$4:$N$11,A170,'05.08'!$O$4:$O$11)</f>
        <v>0</v>
      </c>
      <c r="M174" s="15">
        <f>SUMIF('06.08'!$B$4:$B$11,A170,'06.08'!$C$4:$C$11)+SUMIF('06.08'!$D$4:$D$11,A170,'06.08'!$E$4:$E$11)+SUMIF('06.08'!$F$4:$F$11,A170,'06.08'!$G$4:$G$11)+SUMIF('06.08'!$H$4:$H$11,A170,'06.08'!$I$4:$I$11)+SUMIF('06.08'!$J$4:$J$11,A170,'06.08'!$K$4:$K$11)+SUMIF('06.08'!$L$4:$L$11,A170,'06.08'!$M$4:$M$11)+SUMIF('06.08'!$N$4:$N$11,A170,'06.08'!$O$4:$O$11)</f>
        <v>0</v>
      </c>
      <c r="N174" s="15">
        <f>SUMIF('07.08'!$B$4:$B$11,A170,'07.08'!$C$4:$C$11)+SUMIF('07.08'!$D$4:$D$11,A170,'07.08'!$E$4:$E$11)+SUMIF('07.08'!$F$4:$F$11,A170,'07.08'!$G$4:$G$11)+SUMIF('07.08'!$H$4:$H$11,A170,'07.08'!$I$4:$I$11)+SUMIF('07.08'!$J$4:$J$11,A170,'07.08'!$K$4:$K$11)+SUMIF('07.08'!$L$4:$L$11,A170,'07.08'!$M$4:$M$11)+SUMIF('07.08'!$N$4:$N$11,A170,'07.08'!$O$4:$O$11)</f>
        <v>0</v>
      </c>
      <c r="O174" s="15">
        <f>SUMIF('08.08'!$B$4:$B$11,A170,'08.08'!$C$4:$C$11)+SUMIF('08.08'!$D$4:$D$11,A170,'08.08'!$E$4:$E$11)+SUMIF('08.08'!$F$4:$F$11,A170,'08.08'!$G$4:$G$11)+SUMIF('08.08'!$H$4:$H$11,A170,'08.08'!$I$4:$I$11)+SUMIF('08.08'!$J$4:$J$11,A170,'08.08'!$K$4:$K$11)+SUMIF('08.08'!$L$4:$L$11,A170,'08.08'!$M$4:$M$11)+SUMIF('08.08'!$N$4:$N$11,A170,'08.08'!$O$4:$O$11)</f>
        <v>0</v>
      </c>
      <c r="P174" s="15">
        <f>SUMIF('09.08'!$B$4:$B$11,A170,'09.08'!$C$4:$C$11)+SUMIF('09.08'!$D$4:$D$11,A170,'09.08'!$E$4:$E$11)+SUMIF('09.08'!$F$4:$F$11,A170,'09.08'!$G$4:$G$11)+SUMIF('09.08'!$H$4:$H$11,A170,'09.08'!$I$4:$I$11)+SUMIF('09.08'!$J$4:$J$11,A170,'09.08'!$K$4:$K$11)+SUMIF('09.08'!$L$4:$L$11,A170,'09.08'!$M$4:$M$11)+SUMIF('09.08'!$N$4:$N$11,A170,'09.08'!$O$4:$O$11)</f>
        <v>0</v>
      </c>
      <c r="Q174" s="15">
        <f>SUMIF('10.08'!$B$4:$B$11,A170,'10.08'!$C$4:$C$11)+SUMIF('10.08'!$D$4:$D$11,A170,'10.08'!$E$4:$E$11)+SUMIF('10.08'!$F$4:$F$11,A170,'10.08'!$G$4:$G$11)+SUMIF('10.08'!$H$4:$H$11,A170,'10.08'!$I$4:$I$11)+SUMIF('10.08'!$J$4:$J$11,A170,'10.08'!$K$4:$K$11)+SUMIF('10.08'!$L$4:$L$11,A170,'10.08'!$M$4:$M$11)+SUMIF('10.08'!$N$4:$N$11,A170,'10.08'!$O$4:$O$11)</f>
        <v>0</v>
      </c>
      <c r="R174" s="16" t="str">
        <f t="shared" si="14"/>
        <v>#N/A</v>
      </c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</row>
    <row r="175">
      <c r="A175" s="39" t="str">
        <f>'список продуктов'!A195</f>
        <v/>
      </c>
      <c r="B175" s="39" t="str">
        <f>'список продуктов'!B195</f>
        <v/>
      </c>
      <c r="C175" s="39" t="str">
        <f>'список продуктов'!C195</f>
        <v/>
      </c>
      <c r="D175" s="39" t="str">
        <f>'список продуктов'!D195</f>
        <v/>
      </c>
      <c r="E175" s="39" t="str">
        <f>'список продуктов'!E195</f>
        <v/>
      </c>
      <c r="F175" s="47" t="str">
        <f t="shared" si="15"/>
        <v>#N/A</v>
      </c>
      <c r="G175" s="47" t="str">
        <f t="shared" si="10"/>
        <v>Введите занчения</v>
      </c>
      <c r="H175" s="48" t="str">
        <f t="shared" si="12"/>
        <v>Введите занчения</v>
      </c>
      <c r="I175" s="14">
        <f>SUMIF('02.08'!$B$4:$B$11,A171,'02.08'!$C$4:$C$11)+SUMIF('02.08'!$D$4:$D$11,A171,'02.08'!$E$4:$E$11)+SUMIF('02.08'!$F$4:$F$11,A171,'02.08'!$G$4:$G$11)+SUMIF('02.08'!$H$4:$H$11,A171,'02.08'!$I$4:$I$11)+SUMIF('02.08'!$J$4:$J$11,A171,'02.08'!$K$4:$K$11)+SUMIF('02.08'!$L$4:$L$11,A171,'02.08'!$M$4:$M$11)+SUMIF('02.08'!$N$4:$N$11,A171,'02.08'!$O$4:$O$11)</f>
        <v>0</v>
      </c>
      <c r="J175" s="15">
        <f>SUMIF('03.08'!$B$4:$B$11,A171,'03.08'!$C$4:$C$11)+SUMIF('03.08'!$D$4:$D$11,A171,'03.08'!$E$4:$E$11)+SUMIF('03.08'!$F$4:$F$11,A171,'03.08'!$G$4:$G$11)+SUMIF('03.08'!$H$4:$H$11,A171,'03.08'!$I$4:$I$11)+SUMIF('03.08'!$J$4:$J$11,A171,'03.08'!$K$4:$K$11)+SUMIF('03.08'!$L$4:$L$11,A171,'03.08'!$M$4:$M$11)+SUMIF('03.08'!$N$4:$N$11,A171,'03.08'!$O$4:$O$11)</f>
        <v>0</v>
      </c>
      <c r="K175" s="15">
        <f>SUMIF('04.08'!$B$4:$B$11,A171,'04.08'!$C$4:$C$11)+SUMIF('04.08'!$D$4:$D$11,A171,'04.08'!$E$4:$E$11)+SUMIF('04.08'!$F$4:$F$11,A171,'04.08'!$G$4:$G$11)+SUMIF('04.08'!$H$4:$H$11,A171,'04.08'!$I$4:$I$11)+SUMIF('04.08'!$J$4:$J$11,A171,'04.08'!$K$4:$K$11)+SUMIF('04.08'!$L$4:$L$11,A171,'04.08'!$M$4:$M$11)+SUMIF('04.08'!$N$4:$N$11,A171,'04.08'!$O$4:$O$11)</f>
        <v>0</v>
      </c>
      <c r="L175" s="15">
        <f>SUMIF('05.08'!$B$4:$B$11,A171,'05.08'!$C$4:$C$11)+SUMIF('05.08'!$D$4:$D$11,A171,'05.08'!$E$4:$E$11)+SUMIF('05.08'!$F$4:$F$11,A171,'05.08'!$G$4:$G$11)+SUMIF('05.08'!$H$4:$H$11,A171,'05.08'!$I$4:$I$11)+SUMIF('05.08'!$J$4:$J$11,A171,'05.08'!$K$4:$K$11)+SUMIF('05.08'!$L$4:$L$11,A171,'05.08'!$M$4:$M$11)+SUMIF('05.08'!$N$4:$N$11,A171,'05.08'!$O$4:$O$11)</f>
        <v>0</v>
      </c>
      <c r="M175" s="15">
        <f>SUMIF('06.08'!$B$4:$B$11,A171,'06.08'!$C$4:$C$11)+SUMIF('06.08'!$D$4:$D$11,A171,'06.08'!$E$4:$E$11)+SUMIF('06.08'!$F$4:$F$11,A171,'06.08'!$G$4:$G$11)+SUMIF('06.08'!$H$4:$H$11,A171,'06.08'!$I$4:$I$11)+SUMIF('06.08'!$J$4:$J$11,A171,'06.08'!$K$4:$K$11)+SUMIF('06.08'!$L$4:$L$11,A171,'06.08'!$M$4:$M$11)+SUMIF('06.08'!$N$4:$N$11,A171,'06.08'!$O$4:$O$11)</f>
        <v>0</v>
      </c>
      <c r="N175" s="15">
        <f>SUMIF('07.08'!$B$4:$B$11,A171,'07.08'!$C$4:$C$11)+SUMIF('07.08'!$D$4:$D$11,A171,'07.08'!$E$4:$E$11)+SUMIF('07.08'!$F$4:$F$11,A171,'07.08'!$G$4:$G$11)+SUMIF('07.08'!$H$4:$H$11,A171,'07.08'!$I$4:$I$11)+SUMIF('07.08'!$J$4:$J$11,A171,'07.08'!$K$4:$K$11)+SUMIF('07.08'!$L$4:$L$11,A171,'07.08'!$M$4:$M$11)+SUMIF('07.08'!$N$4:$N$11,A171,'07.08'!$O$4:$O$11)</f>
        <v>0</v>
      </c>
      <c r="O175" s="15">
        <f>SUMIF('08.08'!$B$4:$B$11,A171,'08.08'!$C$4:$C$11)+SUMIF('08.08'!$D$4:$D$11,A171,'08.08'!$E$4:$E$11)+SUMIF('08.08'!$F$4:$F$11,A171,'08.08'!$G$4:$G$11)+SUMIF('08.08'!$H$4:$H$11,A171,'08.08'!$I$4:$I$11)+SUMIF('08.08'!$J$4:$J$11,A171,'08.08'!$K$4:$K$11)+SUMIF('08.08'!$L$4:$L$11,A171,'08.08'!$M$4:$M$11)+SUMIF('08.08'!$N$4:$N$11,A171,'08.08'!$O$4:$O$11)</f>
        <v>0</v>
      </c>
      <c r="P175" s="15">
        <f>SUMIF('09.08'!$B$4:$B$11,A171,'09.08'!$C$4:$C$11)+SUMIF('09.08'!$D$4:$D$11,A171,'09.08'!$E$4:$E$11)+SUMIF('09.08'!$F$4:$F$11,A171,'09.08'!$G$4:$G$11)+SUMIF('09.08'!$H$4:$H$11,A171,'09.08'!$I$4:$I$11)+SUMIF('09.08'!$J$4:$J$11,A171,'09.08'!$K$4:$K$11)+SUMIF('09.08'!$L$4:$L$11,A171,'09.08'!$M$4:$M$11)+SUMIF('09.08'!$N$4:$N$11,A171,'09.08'!$O$4:$O$11)</f>
        <v>0</v>
      </c>
      <c r="Q175" s="15">
        <f>SUMIF('10.08'!$B$4:$B$11,A171,'10.08'!$C$4:$C$11)+SUMIF('10.08'!$D$4:$D$11,A171,'10.08'!$E$4:$E$11)+SUMIF('10.08'!$F$4:$F$11,A171,'10.08'!$G$4:$G$11)+SUMIF('10.08'!$H$4:$H$11,A171,'10.08'!$I$4:$I$11)+SUMIF('10.08'!$J$4:$J$11,A171,'10.08'!$K$4:$K$11)+SUMIF('10.08'!$L$4:$L$11,A171,'10.08'!$M$4:$M$11)+SUMIF('10.08'!$N$4:$N$11,A171,'10.08'!$O$4:$O$11)</f>
        <v>0</v>
      </c>
      <c r="R175" s="16" t="str">
        <f t="shared" si="14"/>
        <v>#N/A</v>
      </c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</row>
    <row r="176">
      <c r="A176" s="39" t="str">
        <f>'список продуктов'!A196</f>
        <v/>
      </c>
      <c r="B176" s="39" t="str">
        <f>'список продуктов'!B196</f>
        <v/>
      </c>
      <c r="C176" s="39" t="str">
        <f>'список продуктов'!C196</f>
        <v/>
      </c>
      <c r="D176" s="39" t="str">
        <f>'список продуктов'!D196</f>
        <v/>
      </c>
      <c r="E176" s="39" t="str">
        <f>'список продуктов'!E196</f>
        <v/>
      </c>
      <c r="F176" s="47" t="str">
        <f t="shared" si="15"/>
        <v>#N/A</v>
      </c>
      <c r="G176" s="47" t="str">
        <f t="shared" si="10"/>
        <v>Введите занчения</v>
      </c>
      <c r="H176" s="48" t="str">
        <f t="shared" si="12"/>
        <v>Введите занчения</v>
      </c>
      <c r="I176" s="14">
        <f>SUMIF('02.08'!$B$4:$B$11,A172,'02.08'!$C$4:$C$11)+SUMIF('02.08'!$D$4:$D$11,A172,'02.08'!$E$4:$E$11)+SUMIF('02.08'!$F$4:$F$11,A172,'02.08'!$G$4:$G$11)+SUMIF('02.08'!$H$4:$H$11,A172,'02.08'!$I$4:$I$11)+SUMIF('02.08'!$J$4:$J$11,A172,'02.08'!$K$4:$K$11)+SUMIF('02.08'!$L$4:$L$11,A172,'02.08'!$M$4:$M$11)+SUMIF('02.08'!$N$4:$N$11,A172,'02.08'!$O$4:$O$11)</f>
        <v>0</v>
      </c>
      <c r="J176" s="15">
        <f>SUMIF('03.08'!$B$4:$B$11,A172,'03.08'!$C$4:$C$11)+SUMIF('03.08'!$D$4:$D$11,A172,'03.08'!$E$4:$E$11)+SUMIF('03.08'!$F$4:$F$11,A172,'03.08'!$G$4:$G$11)+SUMIF('03.08'!$H$4:$H$11,A172,'03.08'!$I$4:$I$11)+SUMIF('03.08'!$J$4:$J$11,A172,'03.08'!$K$4:$K$11)+SUMIF('03.08'!$L$4:$L$11,A172,'03.08'!$M$4:$M$11)+SUMIF('03.08'!$N$4:$N$11,A172,'03.08'!$O$4:$O$11)</f>
        <v>0</v>
      </c>
      <c r="K176" s="15">
        <f>SUMIF('04.08'!$B$4:$B$11,A172,'04.08'!$C$4:$C$11)+SUMIF('04.08'!$D$4:$D$11,A172,'04.08'!$E$4:$E$11)+SUMIF('04.08'!$F$4:$F$11,A172,'04.08'!$G$4:$G$11)+SUMIF('04.08'!$H$4:$H$11,A172,'04.08'!$I$4:$I$11)+SUMIF('04.08'!$J$4:$J$11,A172,'04.08'!$K$4:$K$11)+SUMIF('04.08'!$L$4:$L$11,A172,'04.08'!$M$4:$M$11)+SUMIF('04.08'!$N$4:$N$11,A172,'04.08'!$O$4:$O$11)</f>
        <v>0</v>
      </c>
      <c r="L176" s="15">
        <f>SUMIF('05.08'!$B$4:$B$11,A172,'05.08'!$C$4:$C$11)+SUMIF('05.08'!$D$4:$D$11,A172,'05.08'!$E$4:$E$11)+SUMIF('05.08'!$F$4:$F$11,A172,'05.08'!$G$4:$G$11)+SUMIF('05.08'!$H$4:$H$11,A172,'05.08'!$I$4:$I$11)+SUMIF('05.08'!$J$4:$J$11,A172,'05.08'!$K$4:$K$11)+SUMIF('05.08'!$L$4:$L$11,A172,'05.08'!$M$4:$M$11)+SUMIF('05.08'!$N$4:$N$11,A172,'05.08'!$O$4:$O$11)</f>
        <v>0</v>
      </c>
      <c r="M176" s="15">
        <f>SUMIF('06.08'!$B$4:$B$11,A172,'06.08'!$C$4:$C$11)+SUMIF('06.08'!$D$4:$D$11,A172,'06.08'!$E$4:$E$11)+SUMIF('06.08'!$F$4:$F$11,A172,'06.08'!$G$4:$G$11)+SUMIF('06.08'!$H$4:$H$11,A172,'06.08'!$I$4:$I$11)+SUMIF('06.08'!$J$4:$J$11,A172,'06.08'!$K$4:$K$11)+SUMIF('06.08'!$L$4:$L$11,A172,'06.08'!$M$4:$M$11)+SUMIF('06.08'!$N$4:$N$11,A172,'06.08'!$O$4:$O$11)</f>
        <v>0</v>
      </c>
      <c r="N176" s="15">
        <f>SUMIF('07.08'!$B$4:$B$11,A172,'07.08'!$C$4:$C$11)+SUMIF('07.08'!$D$4:$D$11,A172,'07.08'!$E$4:$E$11)+SUMIF('07.08'!$F$4:$F$11,A172,'07.08'!$G$4:$G$11)+SUMIF('07.08'!$H$4:$H$11,A172,'07.08'!$I$4:$I$11)+SUMIF('07.08'!$J$4:$J$11,A172,'07.08'!$K$4:$K$11)+SUMIF('07.08'!$L$4:$L$11,A172,'07.08'!$M$4:$M$11)+SUMIF('07.08'!$N$4:$N$11,A172,'07.08'!$O$4:$O$11)</f>
        <v>0</v>
      </c>
      <c r="O176" s="15">
        <f>SUMIF('08.08'!$B$4:$B$11,A172,'08.08'!$C$4:$C$11)+SUMIF('08.08'!$D$4:$D$11,A172,'08.08'!$E$4:$E$11)+SUMIF('08.08'!$F$4:$F$11,A172,'08.08'!$G$4:$G$11)+SUMIF('08.08'!$H$4:$H$11,A172,'08.08'!$I$4:$I$11)+SUMIF('08.08'!$J$4:$J$11,A172,'08.08'!$K$4:$K$11)+SUMIF('08.08'!$L$4:$L$11,A172,'08.08'!$M$4:$M$11)+SUMIF('08.08'!$N$4:$N$11,A172,'08.08'!$O$4:$O$11)</f>
        <v>0</v>
      </c>
      <c r="P176" s="15">
        <f>SUMIF('09.08'!$B$4:$B$11,A172,'09.08'!$C$4:$C$11)+SUMIF('09.08'!$D$4:$D$11,A172,'09.08'!$E$4:$E$11)+SUMIF('09.08'!$F$4:$F$11,A172,'09.08'!$G$4:$G$11)+SUMIF('09.08'!$H$4:$H$11,A172,'09.08'!$I$4:$I$11)+SUMIF('09.08'!$J$4:$J$11,A172,'09.08'!$K$4:$K$11)+SUMIF('09.08'!$L$4:$L$11,A172,'09.08'!$M$4:$M$11)+SUMIF('09.08'!$N$4:$N$11,A172,'09.08'!$O$4:$O$11)</f>
        <v>0</v>
      </c>
      <c r="Q176" s="15">
        <f>SUMIF('10.08'!$B$4:$B$11,A172,'10.08'!$C$4:$C$11)+SUMIF('10.08'!$D$4:$D$11,A172,'10.08'!$E$4:$E$11)+SUMIF('10.08'!$F$4:$F$11,A172,'10.08'!$G$4:$G$11)+SUMIF('10.08'!$H$4:$H$11,A172,'10.08'!$I$4:$I$11)+SUMIF('10.08'!$J$4:$J$11,A172,'10.08'!$K$4:$K$11)+SUMIF('10.08'!$L$4:$L$11,A172,'10.08'!$M$4:$M$11)+SUMIF('10.08'!$N$4:$N$11,A172,'10.08'!$O$4:$O$11)</f>
        <v>0</v>
      </c>
      <c r="R176" s="16" t="str">
        <f t="shared" si="14"/>
        <v>#N/A</v>
      </c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</row>
    <row r="177">
      <c r="A177" s="39" t="str">
        <f>'список продуктов'!A197</f>
        <v/>
      </c>
      <c r="B177" s="39" t="str">
        <f>'список продуктов'!B197</f>
        <v/>
      </c>
      <c r="C177" s="39" t="str">
        <f>'список продуктов'!C197</f>
        <v/>
      </c>
      <c r="D177" s="39" t="str">
        <f>'список продуктов'!D197</f>
        <v/>
      </c>
      <c r="E177" s="39" t="str">
        <f>'список продуктов'!E197</f>
        <v/>
      </c>
      <c r="F177" s="47" t="str">
        <f t="shared" si="15"/>
        <v>#N/A</v>
      </c>
      <c r="G177" s="47" t="str">
        <f t="shared" si="10"/>
        <v>Введите занчения</v>
      </c>
      <c r="H177" s="48" t="str">
        <f t="shared" si="12"/>
        <v>Введите занчения</v>
      </c>
      <c r="I177" s="14">
        <f>SUMIF('02.08'!$B$4:$B$11,A173,'02.08'!$C$4:$C$11)+SUMIF('02.08'!$D$4:$D$11,A173,'02.08'!$E$4:$E$11)+SUMIF('02.08'!$F$4:$F$11,A173,'02.08'!$G$4:$G$11)+SUMIF('02.08'!$H$4:$H$11,A173,'02.08'!$I$4:$I$11)+SUMIF('02.08'!$J$4:$J$11,A173,'02.08'!$K$4:$K$11)+SUMIF('02.08'!$L$4:$L$11,A173,'02.08'!$M$4:$M$11)+SUMIF('02.08'!$N$4:$N$11,A173,'02.08'!$O$4:$O$11)</f>
        <v>0</v>
      </c>
      <c r="J177" s="15">
        <f>SUMIF('03.08'!$B$4:$B$11,A173,'03.08'!$C$4:$C$11)+SUMIF('03.08'!$D$4:$D$11,A173,'03.08'!$E$4:$E$11)+SUMIF('03.08'!$F$4:$F$11,A173,'03.08'!$G$4:$G$11)+SUMIF('03.08'!$H$4:$H$11,A173,'03.08'!$I$4:$I$11)+SUMIF('03.08'!$J$4:$J$11,A173,'03.08'!$K$4:$K$11)+SUMIF('03.08'!$L$4:$L$11,A173,'03.08'!$M$4:$M$11)+SUMIF('03.08'!$N$4:$N$11,A173,'03.08'!$O$4:$O$11)</f>
        <v>0</v>
      </c>
      <c r="K177" s="15">
        <f>SUMIF('04.08'!$B$4:$B$11,A173,'04.08'!$C$4:$C$11)+SUMIF('04.08'!$D$4:$D$11,A173,'04.08'!$E$4:$E$11)+SUMIF('04.08'!$F$4:$F$11,A173,'04.08'!$G$4:$G$11)+SUMIF('04.08'!$H$4:$H$11,A173,'04.08'!$I$4:$I$11)+SUMIF('04.08'!$J$4:$J$11,A173,'04.08'!$K$4:$K$11)+SUMIF('04.08'!$L$4:$L$11,A173,'04.08'!$M$4:$M$11)+SUMIF('04.08'!$N$4:$N$11,A173,'04.08'!$O$4:$O$11)</f>
        <v>0</v>
      </c>
      <c r="L177" s="15">
        <f>SUMIF('05.08'!$B$4:$B$11,A173,'05.08'!$C$4:$C$11)+SUMIF('05.08'!$D$4:$D$11,A173,'05.08'!$E$4:$E$11)+SUMIF('05.08'!$F$4:$F$11,A173,'05.08'!$G$4:$G$11)+SUMIF('05.08'!$H$4:$H$11,A173,'05.08'!$I$4:$I$11)+SUMIF('05.08'!$J$4:$J$11,A173,'05.08'!$K$4:$K$11)+SUMIF('05.08'!$L$4:$L$11,A173,'05.08'!$M$4:$M$11)+SUMIF('05.08'!$N$4:$N$11,A173,'05.08'!$O$4:$O$11)</f>
        <v>0</v>
      </c>
      <c r="M177" s="15">
        <f>SUMIF('06.08'!$B$4:$B$11,A173,'06.08'!$C$4:$C$11)+SUMIF('06.08'!$D$4:$D$11,A173,'06.08'!$E$4:$E$11)+SUMIF('06.08'!$F$4:$F$11,A173,'06.08'!$G$4:$G$11)+SUMIF('06.08'!$H$4:$H$11,A173,'06.08'!$I$4:$I$11)+SUMIF('06.08'!$J$4:$J$11,A173,'06.08'!$K$4:$K$11)+SUMIF('06.08'!$L$4:$L$11,A173,'06.08'!$M$4:$M$11)+SUMIF('06.08'!$N$4:$N$11,A173,'06.08'!$O$4:$O$11)</f>
        <v>0</v>
      </c>
      <c r="N177" s="15">
        <f>SUMIF('07.08'!$B$4:$B$11,A173,'07.08'!$C$4:$C$11)+SUMIF('07.08'!$D$4:$D$11,A173,'07.08'!$E$4:$E$11)+SUMIF('07.08'!$F$4:$F$11,A173,'07.08'!$G$4:$G$11)+SUMIF('07.08'!$H$4:$H$11,A173,'07.08'!$I$4:$I$11)+SUMIF('07.08'!$J$4:$J$11,A173,'07.08'!$K$4:$K$11)+SUMIF('07.08'!$L$4:$L$11,A173,'07.08'!$M$4:$M$11)+SUMIF('07.08'!$N$4:$N$11,A173,'07.08'!$O$4:$O$11)</f>
        <v>0</v>
      </c>
      <c r="O177" s="15">
        <f>SUMIF('08.08'!$B$4:$B$11,A173,'08.08'!$C$4:$C$11)+SUMIF('08.08'!$D$4:$D$11,A173,'08.08'!$E$4:$E$11)+SUMIF('08.08'!$F$4:$F$11,A173,'08.08'!$G$4:$G$11)+SUMIF('08.08'!$H$4:$H$11,A173,'08.08'!$I$4:$I$11)+SUMIF('08.08'!$J$4:$J$11,A173,'08.08'!$K$4:$K$11)+SUMIF('08.08'!$L$4:$L$11,A173,'08.08'!$M$4:$M$11)+SUMIF('08.08'!$N$4:$N$11,A173,'08.08'!$O$4:$O$11)</f>
        <v>0</v>
      </c>
      <c r="P177" s="15">
        <f>SUMIF('09.08'!$B$4:$B$11,A173,'09.08'!$C$4:$C$11)+SUMIF('09.08'!$D$4:$D$11,A173,'09.08'!$E$4:$E$11)+SUMIF('09.08'!$F$4:$F$11,A173,'09.08'!$G$4:$G$11)+SUMIF('09.08'!$H$4:$H$11,A173,'09.08'!$I$4:$I$11)+SUMIF('09.08'!$J$4:$J$11,A173,'09.08'!$K$4:$K$11)+SUMIF('09.08'!$L$4:$L$11,A173,'09.08'!$M$4:$M$11)+SUMIF('09.08'!$N$4:$N$11,A173,'09.08'!$O$4:$O$11)</f>
        <v>0</v>
      </c>
      <c r="Q177" s="15">
        <f>SUMIF('10.08'!$B$4:$B$11,A173,'10.08'!$C$4:$C$11)+SUMIF('10.08'!$D$4:$D$11,A173,'10.08'!$E$4:$E$11)+SUMIF('10.08'!$F$4:$F$11,A173,'10.08'!$G$4:$G$11)+SUMIF('10.08'!$H$4:$H$11,A173,'10.08'!$I$4:$I$11)+SUMIF('10.08'!$J$4:$J$11,A173,'10.08'!$K$4:$K$11)+SUMIF('10.08'!$L$4:$L$11,A173,'10.08'!$M$4:$M$11)+SUMIF('10.08'!$N$4:$N$11,A173,'10.08'!$O$4:$O$11)</f>
        <v>0</v>
      </c>
      <c r="R177" s="16" t="str">
        <f t="shared" si="14"/>
        <v>#N/A</v>
      </c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</row>
    <row r="178">
      <c r="A178" s="39" t="str">
        <f>'список продуктов'!A198</f>
        <v/>
      </c>
      <c r="B178" s="39" t="str">
        <f>'список продуктов'!B198</f>
        <v/>
      </c>
      <c r="C178" s="39" t="str">
        <f>'список продуктов'!C198</f>
        <v/>
      </c>
      <c r="D178" s="39" t="str">
        <f>'список продуктов'!D198</f>
        <v/>
      </c>
      <c r="E178" s="39" t="str">
        <f>'список продуктов'!E198</f>
        <v/>
      </c>
      <c r="F178" s="47" t="str">
        <f t="shared" si="15"/>
        <v>#N/A</v>
      </c>
      <c r="G178" s="47" t="str">
        <f t="shared" si="10"/>
        <v>Введите занчения</v>
      </c>
      <c r="H178" s="48" t="str">
        <f t="shared" si="12"/>
        <v>Введите занчения</v>
      </c>
      <c r="I178" s="14">
        <f>SUMIF('02.08'!$B$4:$B$11,A174,'02.08'!$C$4:$C$11)+SUMIF('02.08'!$D$4:$D$11,A174,'02.08'!$E$4:$E$11)+SUMIF('02.08'!$F$4:$F$11,A174,'02.08'!$G$4:$G$11)+SUMIF('02.08'!$H$4:$H$11,A174,'02.08'!$I$4:$I$11)+SUMIF('02.08'!$J$4:$J$11,A174,'02.08'!$K$4:$K$11)+SUMIF('02.08'!$L$4:$L$11,A174,'02.08'!$M$4:$M$11)+SUMIF('02.08'!$N$4:$N$11,A174,'02.08'!$O$4:$O$11)</f>
        <v>0</v>
      </c>
      <c r="J178" s="15">
        <f>SUMIF('03.08'!$B$4:$B$11,A174,'03.08'!$C$4:$C$11)+SUMIF('03.08'!$D$4:$D$11,A174,'03.08'!$E$4:$E$11)+SUMIF('03.08'!$F$4:$F$11,A174,'03.08'!$G$4:$G$11)+SUMIF('03.08'!$H$4:$H$11,A174,'03.08'!$I$4:$I$11)+SUMIF('03.08'!$J$4:$J$11,A174,'03.08'!$K$4:$K$11)+SUMIF('03.08'!$L$4:$L$11,A174,'03.08'!$M$4:$M$11)+SUMIF('03.08'!$N$4:$N$11,A174,'03.08'!$O$4:$O$11)</f>
        <v>0</v>
      </c>
      <c r="K178" s="15">
        <f>SUMIF('04.08'!$B$4:$B$11,A174,'04.08'!$C$4:$C$11)+SUMIF('04.08'!$D$4:$D$11,A174,'04.08'!$E$4:$E$11)+SUMIF('04.08'!$F$4:$F$11,A174,'04.08'!$G$4:$G$11)+SUMIF('04.08'!$H$4:$H$11,A174,'04.08'!$I$4:$I$11)+SUMIF('04.08'!$J$4:$J$11,A174,'04.08'!$K$4:$K$11)+SUMIF('04.08'!$L$4:$L$11,A174,'04.08'!$M$4:$M$11)+SUMIF('04.08'!$N$4:$N$11,A174,'04.08'!$O$4:$O$11)</f>
        <v>0</v>
      </c>
      <c r="L178" s="15">
        <f>SUMIF('05.08'!$B$4:$B$11,A174,'05.08'!$C$4:$C$11)+SUMIF('05.08'!$D$4:$D$11,A174,'05.08'!$E$4:$E$11)+SUMIF('05.08'!$F$4:$F$11,A174,'05.08'!$G$4:$G$11)+SUMIF('05.08'!$H$4:$H$11,A174,'05.08'!$I$4:$I$11)+SUMIF('05.08'!$J$4:$J$11,A174,'05.08'!$K$4:$K$11)+SUMIF('05.08'!$L$4:$L$11,A174,'05.08'!$M$4:$M$11)+SUMIF('05.08'!$N$4:$N$11,A174,'05.08'!$O$4:$O$11)</f>
        <v>0</v>
      </c>
      <c r="M178" s="15">
        <f>SUMIF('06.08'!$B$4:$B$11,A174,'06.08'!$C$4:$C$11)+SUMIF('06.08'!$D$4:$D$11,A174,'06.08'!$E$4:$E$11)+SUMIF('06.08'!$F$4:$F$11,A174,'06.08'!$G$4:$G$11)+SUMIF('06.08'!$H$4:$H$11,A174,'06.08'!$I$4:$I$11)+SUMIF('06.08'!$J$4:$J$11,A174,'06.08'!$K$4:$K$11)+SUMIF('06.08'!$L$4:$L$11,A174,'06.08'!$M$4:$M$11)+SUMIF('06.08'!$N$4:$N$11,A174,'06.08'!$O$4:$O$11)</f>
        <v>0</v>
      </c>
      <c r="N178" s="15">
        <f>SUMIF('07.08'!$B$4:$B$11,A174,'07.08'!$C$4:$C$11)+SUMIF('07.08'!$D$4:$D$11,A174,'07.08'!$E$4:$E$11)+SUMIF('07.08'!$F$4:$F$11,A174,'07.08'!$G$4:$G$11)+SUMIF('07.08'!$H$4:$H$11,A174,'07.08'!$I$4:$I$11)+SUMIF('07.08'!$J$4:$J$11,A174,'07.08'!$K$4:$K$11)+SUMIF('07.08'!$L$4:$L$11,A174,'07.08'!$M$4:$M$11)+SUMIF('07.08'!$N$4:$N$11,A174,'07.08'!$O$4:$O$11)</f>
        <v>0</v>
      </c>
      <c r="O178" s="15">
        <f>SUMIF('08.08'!$B$4:$B$11,A174,'08.08'!$C$4:$C$11)+SUMIF('08.08'!$D$4:$D$11,A174,'08.08'!$E$4:$E$11)+SUMIF('08.08'!$F$4:$F$11,A174,'08.08'!$G$4:$G$11)+SUMIF('08.08'!$H$4:$H$11,A174,'08.08'!$I$4:$I$11)+SUMIF('08.08'!$J$4:$J$11,A174,'08.08'!$K$4:$K$11)+SUMIF('08.08'!$L$4:$L$11,A174,'08.08'!$M$4:$M$11)+SUMIF('08.08'!$N$4:$N$11,A174,'08.08'!$O$4:$O$11)</f>
        <v>0</v>
      </c>
      <c r="P178" s="15">
        <f>SUMIF('09.08'!$B$4:$B$11,A174,'09.08'!$C$4:$C$11)+SUMIF('09.08'!$D$4:$D$11,A174,'09.08'!$E$4:$E$11)+SUMIF('09.08'!$F$4:$F$11,A174,'09.08'!$G$4:$G$11)+SUMIF('09.08'!$H$4:$H$11,A174,'09.08'!$I$4:$I$11)+SUMIF('09.08'!$J$4:$J$11,A174,'09.08'!$K$4:$K$11)+SUMIF('09.08'!$L$4:$L$11,A174,'09.08'!$M$4:$M$11)+SUMIF('09.08'!$N$4:$N$11,A174,'09.08'!$O$4:$O$11)</f>
        <v>0</v>
      </c>
      <c r="Q178" s="15">
        <f>SUMIF('10.08'!$B$4:$B$11,A174,'10.08'!$C$4:$C$11)+SUMIF('10.08'!$D$4:$D$11,A174,'10.08'!$E$4:$E$11)+SUMIF('10.08'!$F$4:$F$11,A174,'10.08'!$G$4:$G$11)+SUMIF('10.08'!$H$4:$H$11,A174,'10.08'!$I$4:$I$11)+SUMIF('10.08'!$J$4:$J$11,A174,'10.08'!$K$4:$K$11)+SUMIF('10.08'!$L$4:$L$11,A174,'10.08'!$M$4:$M$11)+SUMIF('10.08'!$N$4:$N$11,A174,'10.08'!$O$4:$O$11)</f>
        <v>0</v>
      </c>
      <c r="R178" s="16" t="str">
        <f t="shared" si="14"/>
        <v>#N/A</v>
      </c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</row>
    <row r="179">
      <c r="A179" s="39" t="str">
        <f>'список продуктов'!A199</f>
        <v/>
      </c>
      <c r="B179" s="39" t="str">
        <f>'список продуктов'!B199</f>
        <v/>
      </c>
      <c r="C179" s="39" t="str">
        <f>'список продуктов'!C199</f>
        <v/>
      </c>
      <c r="D179" s="39" t="str">
        <f>'список продуктов'!D199</f>
        <v/>
      </c>
      <c r="E179" s="39" t="str">
        <f>'список продуктов'!E199</f>
        <v/>
      </c>
      <c r="F179" s="47" t="str">
        <f t="shared" si="15"/>
        <v>#N/A</v>
      </c>
      <c r="G179" s="47" t="str">
        <f t="shared" si="10"/>
        <v>Введите занчения</v>
      </c>
      <c r="H179" s="48" t="str">
        <f t="shared" si="12"/>
        <v>Введите занчения</v>
      </c>
      <c r="I179" s="14">
        <f>SUMIF('02.08'!$B$4:$B$11,A175,'02.08'!$C$4:$C$11)+SUMIF('02.08'!$D$4:$D$11,A175,'02.08'!$E$4:$E$11)+SUMIF('02.08'!$F$4:$F$11,A175,'02.08'!$G$4:$G$11)+SUMIF('02.08'!$H$4:$H$11,A175,'02.08'!$I$4:$I$11)+SUMIF('02.08'!$J$4:$J$11,A175,'02.08'!$K$4:$K$11)+SUMIF('02.08'!$L$4:$L$11,A175,'02.08'!$M$4:$M$11)+SUMIF('02.08'!$N$4:$N$11,A175,'02.08'!$O$4:$O$11)</f>
        <v>0</v>
      </c>
      <c r="J179" s="15">
        <f>SUMIF('03.08'!$B$4:$B$11,A175,'03.08'!$C$4:$C$11)+SUMIF('03.08'!$D$4:$D$11,A175,'03.08'!$E$4:$E$11)+SUMIF('03.08'!$F$4:$F$11,A175,'03.08'!$G$4:$G$11)+SUMIF('03.08'!$H$4:$H$11,A175,'03.08'!$I$4:$I$11)+SUMIF('03.08'!$J$4:$J$11,A175,'03.08'!$K$4:$K$11)+SUMIF('03.08'!$L$4:$L$11,A175,'03.08'!$M$4:$M$11)+SUMIF('03.08'!$N$4:$N$11,A175,'03.08'!$O$4:$O$11)</f>
        <v>0</v>
      </c>
      <c r="K179" s="15">
        <f>SUMIF('04.08'!$B$4:$B$11,A175,'04.08'!$C$4:$C$11)+SUMIF('04.08'!$D$4:$D$11,A175,'04.08'!$E$4:$E$11)+SUMIF('04.08'!$F$4:$F$11,A175,'04.08'!$G$4:$G$11)+SUMIF('04.08'!$H$4:$H$11,A175,'04.08'!$I$4:$I$11)+SUMIF('04.08'!$J$4:$J$11,A175,'04.08'!$K$4:$K$11)+SUMIF('04.08'!$L$4:$L$11,A175,'04.08'!$M$4:$M$11)+SUMIF('04.08'!$N$4:$N$11,A175,'04.08'!$O$4:$O$11)</f>
        <v>0</v>
      </c>
      <c r="L179" s="15">
        <f>SUMIF('05.08'!$B$4:$B$11,A175,'05.08'!$C$4:$C$11)+SUMIF('05.08'!$D$4:$D$11,A175,'05.08'!$E$4:$E$11)+SUMIF('05.08'!$F$4:$F$11,A175,'05.08'!$G$4:$G$11)+SUMIF('05.08'!$H$4:$H$11,A175,'05.08'!$I$4:$I$11)+SUMIF('05.08'!$J$4:$J$11,A175,'05.08'!$K$4:$K$11)+SUMIF('05.08'!$L$4:$L$11,A175,'05.08'!$M$4:$M$11)+SUMIF('05.08'!$N$4:$N$11,A175,'05.08'!$O$4:$O$11)</f>
        <v>0</v>
      </c>
      <c r="M179" s="15">
        <f>SUMIF('06.08'!$B$4:$B$11,A175,'06.08'!$C$4:$C$11)+SUMIF('06.08'!$D$4:$D$11,A175,'06.08'!$E$4:$E$11)+SUMIF('06.08'!$F$4:$F$11,A175,'06.08'!$G$4:$G$11)+SUMIF('06.08'!$H$4:$H$11,A175,'06.08'!$I$4:$I$11)+SUMIF('06.08'!$J$4:$J$11,A175,'06.08'!$K$4:$K$11)+SUMIF('06.08'!$L$4:$L$11,A175,'06.08'!$M$4:$M$11)+SUMIF('06.08'!$N$4:$N$11,A175,'06.08'!$O$4:$O$11)</f>
        <v>0</v>
      </c>
      <c r="N179" s="15">
        <f>SUMIF('07.08'!$B$4:$B$11,A175,'07.08'!$C$4:$C$11)+SUMIF('07.08'!$D$4:$D$11,A175,'07.08'!$E$4:$E$11)+SUMIF('07.08'!$F$4:$F$11,A175,'07.08'!$G$4:$G$11)+SUMIF('07.08'!$H$4:$H$11,A175,'07.08'!$I$4:$I$11)+SUMIF('07.08'!$J$4:$J$11,A175,'07.08'!$K$4:$K$11)+SUMIF('07.08'!$L$4:$L$11,A175,'07.08'!$M$4:$M$11)+SUMIF('07.08'!$N$4:$N$11,A175,'07.08'!$O$4:$O$11)</f>
        <v>0</v>
      </c>
      <c r="O179" s="15">
        <f>SUMIF('08.08'!$B$4:$B$11,A175,'08.08'!$C$4:$C$11)+SUMIF('08.08'!$D$4:$D$11,A175,'08.08'!$E$4:$E$11)+SUMIF('08.08'!$F$4:$F$11,A175,'08.08'!$G$4:$G$11)+SUMIF('08.08'!$H$4:$H$11,A175,'08.08'!$I$4:$I$11)+SUMIF('08.08'!$J$4:$J$11,A175,'08.08'!$K$4:$K$11)+SUMIF('08.08'!$L$4:$L$11,A175,'08.08'!$M$4:$M$11)+SUMIF('08.08'!$N$4:$N$11,A175,'08.08'!$O$4:$O$11)</f>
        <v>0</v>
      </c>
      <c r="P179" s="15">
        <f>SUMIF('09.08'!$B$4:$B$11,A175,'09.08'!$C$4:$C$11)+SUMIF('09.08'!$D$4:$D$11,A175,'09.08'!$E$4:$E$11)+SUMIF('09.08'!$F$4:$F$11,A175,'09.08'!$G$4:$G$11)+SUMIF('09.08'!$H$4:$H$11,A175,'09.08'!$I$4:$I$11)+SUMIF('09.08'!$J$4:$J$11,A175,'09.08'!$K$4:$K$11)+SUMIF('09.08'!$L$4:$L$11,A175,'09.08'!$M$4:$M$11)+SUMIF('09.08'!$N$4:$N$11,A175,'09.08'!$O$4:$O$11)</f>
        <v>0</v>
      </c>
      <c r="Q179" s="15">
        <f>SUMIF('10.08'!$B$4:$B$11,A175,'10.08'!$C$4:$C$11)+SUMIF('10.08'!$D$4:$D$11,A175,'10.08'!$E$4:$E$11)+SUMIF('10.08'!$F$4:$F$11,A175,'10.08'!$G$4:$G$11)+SUMIF('10.08'!$H$4:$H$11,A175,'10.08'!$I$4:$I$11)+SUMIF('10.08'!$J$4:$J$11,A175,'10.08'!$K$4:$K$11)+SUMIF('10.08'!$L$4:$L$11,A175,'10.08'!$M$4:$M$11)+SUMIF('10.08'!$N$4:$N$11,A175,'10.08'!$O$4:$O$11)</f>
        <v>0</v>
      </c>
      <c r="R179" s="16" t="str">
        <f t="shared" si="14"/>
        <v>#N/A</v>
      </c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</row>
    <row r="180">
      <c r="A180" s="39" t="str">
        <f>'список продуктов'!A200</f>
        <v/>
      </c>
      <c r="B180" s="39" t="str">
        <f>'список продуктов'!B200</f>
        <v/>
      </c>
      <c r="C180" s="39" t="str">
        <f>'список продуктов'!C200</f>
        <v/>
      </c>
      <c r="D180" s="39" t="str">
        <f>'список продуктов'!D200</f>
        <v/>
      </c>
      <c r="E180" s="39" t="str">
        <f>'список продуктов'!E200</f>
        <v/>
      </c>
      <c r="F180" s="47" t="str">
        <f t="shared" si="15"/>
        <v>#N/A</v>
      </c>
      <c r="G180" s="47" t="str">
        <f t="shared" si="10"/>
        <v>Введите занчения</v>
      </c>
      <c r="H180" s="48" t="str">
        <f t="shared" si="12"/>
        <v>Введите занчения</v>
      </c>
      <c r="I180" s="14">
        <f>SUMIF('02.08'!$B$4:$B$11,A176,'02.08'!$C$4:$C$11)+SUMIF('02.08'!$D$4:$D$11,A176,'02.08'!$E$4:$E$11)+SUMIF('02.08'!$F$4:$F$11,A176,'02.08'!$G$4:$G$11)+SUMIF('02.08'!$H$4:$H$11,A176,'02.08'!$I$4:$I$11)+SUMIF('02.08'!$J$4:$J$11,A176,'02.08'!$K$4:$K$11)+SUMIF('02.08'!$L$4:$L$11,A176,'02.08'!$M$4:$M$11)+SUMIF('02.08'!$N$4:$N$11,A176,'02.08'!$O$4:$O$11)</f>
        <v>0</v>
      </c>
      <c r="J180" s="15">
        <f>SUMIF('03.08'!$B$4:$B$11,A176,'03.08'!$C$4:$C$11)+SUMIF('03.08'!$D$4:$D$11,A176,'03.08'!$E$4:$E$11)+SUMIF('03.08'!$F$4:$F$11,A176,'03.08'!$G$4:$G$11)+SUMIF('03.08'!$H$4:$H$11,A176,'03.08'!$I$4:$I$11)+SUMIF('03.08'!$J$4:$J$11,A176,'03.08'!$K$4:$K$11)+SUMIF('03.08'!$L$4:$L$11,A176,'03.08'!$M$4:$M$11)+SUMIF('03.08'!$N$4:$N$11,A176,'03.08'!$O$4:$O$11)</f>
        <v>0</v>
      </c>
      <c r="K180" s="15">
        <f>SUMIF('04.08'!$B$4:$B$11,A176,'04.08'!$C$4:$C$11)+SUMIF('04.08'!$D$4:$D$11,A176,'04.08'!$E$4:$E$11)+SUMIF('04.08'!$F$4:$F$11,A176,'04.08'!$G$4:$G$11)+SUMIF('04.08'!$H$4:$H$11,A176,'04.08'!$I$4:$I$11)+SUMIF('04.08'!$J$4:$J$11,A176,'04.08'!$K$4:$K$11)+SUMIF('04.08'!$L$4:$L$11,A176,'04.08'!$M$4:$M$11)+SUMIF('04.08'!$N$4:$N$11,A176,'04.08'!$O$4:$O$11)</f>
        <v>0</v>
      </c>
      <c r="L180" s="15">
        <f>SUMIF('05.08'!$B$4:$B$11,A176,'05.08'!$C$4:$C$11)+SUMIF('05.08'!$D$4:$D$11,A176,'05.08'!$E$4:$E$11)+SUMIF('05.08'!$F$4:$F$11,A176,'05.08'!$G$4:$G$11)+SUMIF('05.08'!$H$4:$H$11,A176,'05.08'!$I$4:$I$11)+SUMIF('05.08'!$J$4:$J$11,A176,'05.08'!$K$4:$K$11)+SUMIF('05.08'!$L$4:$L$11,A176,'05.08'!$M$4:$M$11)+SUMIF('05.08'!$N$4:$N$11,A176,'05.08'!$O$4:$O$11)</f>
        <v>0</v>
      </c>
      <c r="M180" s="15">
        <f>SUMIF('06.08'!$B$4:$B$11,A176,'06.08'!$C$4:$C$11)+SUMIF('06.08'!$D$4:$D$11,A176,'06.08'!$E$4:$E$11)+SUMIF('06.08'!$F$4:$F$11,A176,'06.08'!$G$4:$G$11)+SUMIF('06.08'!$H$4:$H$11,A176,'06.08'!$I$4:$I$11)+SUMIF('06.08'!$J$4:$J$11,A176,'06.08'!$K$4:$K$11)+SUMIF('06.08'!$L$4:$L$11,A176,'06.08'!$M$4:$M$11)+SUMIF('06.08'!$N$4:$N$11,A176,'06.08'!$O$4:$O$11)</f>
        <v>0</v>
      </c>
      <c r="N180" s="15">
        <f>SUMIF('07.08'!$B$4:$B$11,A176,'07.08'!$C$4:$C$11)+SUMIF('07.08'!$D$4:$D$11,A176,'07.08'!$E$4:$E$11)+SUMIF('07.08'!$F$4:$F$11,A176,'07.08'!$G$4:$G$11)+SUMIF('07.08'!$H$4:$H$11,A176,'07.08'!$I$4:$I$11)+SUMIF('07.08'!$J$4:$J$11,A176,'07.08'!$K$4:$K$11)+SUMIF('07.08'!$L$4:$L$11,A176,'07.08'!$M$4:$M$11)+SUMIF('07.08'!$N$4:$N$11,A176,'07.08'!$O$4:$O$11)</f>
        <v>0</v>
      </c>
      <c r="O180" s="15">
        <f>SUMIF('08.08'!$B$4:$B$11,A176,'08.08'!$C$4:$C$11)+SUMIF('08.08'!$D$4:$D$11,A176,'08.08'!$E$4:$E$11)+SUMIF('08.08'!$F$4:$F$11,A176,'08.08'!$G$4:$G$11)+SUMIF('08.08'!$H$4:$H$11,A176,'08.08'!$I$4:$I$11)+SUMIF('08.08'!$J$4:$J$11,A176,'08.08'!$K$4:$K$11)+SUMIF('08.08'!$L$4:$L$11,A176,'08.08'!$M$4:$M$11)+SUMIF('08.08'!$N$4:$N$11,A176,'08.08'!$O$4:$O$11)</f>
        <v>0</v>
      </c>
      <c r="P180" s="15">
        <f>SUMIF('09.08'!$B$4:$B$11,A176,'09.08'!$C$4:$C$11)+SUMIF('09.08'!$D$4:$D$11,A176,'09.08'!$E$4:$E$11)+SUMIF('09.08'!$F$4:$F$11,A176,'09.08'!$G$4:$G$11)+SUMIF('09.08'!$H$4:$H$11,A176,'09.08'!$I$4:$I$11)+SUMIF('09.08'!$J$4:$J$11,A176,'09.08'!$K$4:$K$11)+SUMIF('09.08'!$L$4:$L$11,A176,'09.08'!$M$4:$M$11)+SUMIF('09.08'!$N$4:$N$11,A176,'09.08'!$O$4:$O$11)</f>
        <v>0</v>
      </c>
      <c r="Q180" s="15">
        <f>SUMIF('10.08'!$B$4:$B$11,A176,'10.08'!$C$4:$C$11)+SUMIF('10.08'!$D$4:$D$11,A176,'10.08'!$E$4:$E$11)+SUMIF('10.08'!$F$4:$F$11,A176,'10.08'!$G$4:$G$11)+SUMIF('10.08'!$H$4:$H$11,A176,'10.08'!$I$4:$I$11)+SUMIF('10.08'!$J$4:$J$11,A176,'10.08'!$K$4:$K$11)+SUMIF('10.08'!$L$4:$L$11,A176,'10.08'!$M$4:$M$11)+SUMIF('10.08'!$N$4:$N$11,A176,'10.08'!$O$4:$O$11)</f>
        <v>0</v>
      </c>
      <c r="R180" s="16" t="str">
        <f t="shared" si="14"/>
        <v>#N/A</v>
      </c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</row>
    <row r="181">
      <c r="A181" s="39" t="str">
        <f>'список продуктов'!A201</f>
        <v/>
      </c>
      <c r="B181" s="39" t="str">
        <f>'список продуктов'!B201</f>
        <v/>
      </c>
      <c r="C181" s="39" t="str">
        <f>'список продуктов'!C201</f>
        <v/>
      </c>
      <c r="D181" s="39" t="str">
        <f>'список продуктов'!D201</f>
        <v/>
      </c>
      <c r="E181" s="39" t="str">
        <f>'список продуктов'!E201</f>
        <v/>
      </c>
      <c r="F181" s="47" t="str">
        <f t="shared" si="15"/>
        <v>#N/A</v>
      </c>
      <c r="G181" s="47" t="str">
        <f t="shared" si="10"/>
        <v>Введите занчения</v>
      </c>
      <c r="H181" s="48" t="str">
        <f t="shared" si="12"/>
        <v>Введите занчения</v>
      </c>
      <c r="I181" s="14">
        <f>SUMIF('02.08'!$B$4:$B$11,A177,'02.08'!$C$4:$C$11)+SUMIF('02.08'!$D$4:$D$11,A177,'02.08'!$E$4:$E$11)+SUMIF('02.08'!$F$4:$F$11,A177,'02.08'!$G$4:$G$11)+SUMIF('02.08'!$H$4:$H$11,A177,'02.08'!$I$4:$I$11)+SUMIF('02.08'!$J$4:$J$11,A177,'02.08'!$K$4:$K$11)+SUMIF('02.08'!$L$4:$L$11,A177,'02.08'!$M$4:$M$11)+SUMIF('02.08'!$N$4:$N$11,A177,'02.08'!$O$4:$O$11)</f>
        <v>0</v>
      </c>
      <c r="J181" s="15">
        <f>SUMIF('03.08'!$B$4:$B$11,A177,'03.08'!$C$4:$C$11)+SUMIF('03.08'!$D$4:$D$11,A177,'03.08'!$E$4:$E$11)+SUMIF('03.08'!$F$4:$F$11,A177,'03.08'!$G$4:$G$11)+SUMIF('03.08'!$H$4:$H$11,A177,'03.08'!$I$4:$I$11)+SUMIF('03.08'!$J$4:$J$11,A177,'03.08'!$K$4:$K$11)+SUMIF('03.08'!$L$4:$L$11,A177,'03.08'!$M$4:$M$11)+SUMIF('03.08'!$N$4:$N$11,A177,'03.08'!$O$4:$O$11)</f>
        <v>0</v>
      </c>
      <c r="K181" s="15">
        <f>SUMIF('04.08'!$B$4:$B$11,A177,'04.08'!$C$4:$C$11)+SUMIF('04.08'!$D$4:$D$11,A177,'04.08'!$E$4:$E$11)+SUMIF('04.08'!$F$4:$F$11,A177,'04.08'!$G$4:$G$11)+SUMIF('04.08'!$H$4:$H$11,A177,'04.08'!$I$4:$I$11)+SUMIF('04.08'!$J$4:$J$11,A177,'04.08'!$K$4:$K$11)+SUMIF('04.08'!$L$4:$L$11,A177,'04.08'!$M$4:$M$11)+SUMIF('04.08'!$N$4:$N$11,A177,'04.08'!$O$4:$O$11)</f>
        <v>0</v>
      </c>
      <c r="L181" s="15">
        <f>SUMIF('05.08'!$B$4:$B$11,A177,'05.08'!$C$4:$C$11)+SUMIF('05.08'!$D$4:$D$11,A177,'05.08'!$E$4:$E$11)+SUMIF('05.08'!$F$4:$F$11,A177,'05.08'!$G$4:$G$11)+SUMIF('05.08'!$H$4:$H$11,A177,'05.08'!$I$4:$I$11)+SUMIF('05.08'!$J$4:$J$11,A177,'05.08'!$K$4:$K$11)+SUMIF('05.08'!$L$4:$L$11,A177,'05.08'!$M$4:$M$11)+SUMIF('05.08'!$N$4:$N$11,A177,'05.08'!$O$4:$O$11)</f>
        <v>0</v>
      </c>
      <c r="M181" s="15">
        <f>SUMIF('06.08'!$B$4:$B$11,A177,'06.08'!$C$4:$C$11)+SUMIF('06.08'!$D$4:$D$11,A177,'06.08'!$E$4:$E$11)+SUMIF('06.08'!$F$4:$F$11,A177,'06.08'!$G$4:$G$11)+SUMIF('06.08'!$H$4:$H$11,A177,'06.08'!$I$4:$I$11)+SUMIF('06.08'!$J$4:$J$11,A177,'06.08'!$K$4:$K$11)+SUMIF('06.08'!$L$4:$L$11,A177,'06.08'!$M$4:$M$11)+SUMIF('06.08'!$N$4:$N$11,A177,'06.08'!$O$4:$O$11)</f>
        <v>0</v>
      </c>
      <c r="N181" s="15">
        <f>SUMIF('07.08'!$B$4:$B$11,A177,'07.08'!$C$4:$C$11)+SUMIF('07.08'!$D$4:$D$11,A177,'07.08'!$E$4:$E$11)+SUMIF('07.08'!$F$4:$F$11,A177,'07.08'!$G$4:$G$11)+SUMIF('07.08'!$H$4:$H$11,A177,'07.08'!$I$4:$I$11)+SUMIF('07.08'!$J$4:$J$11,A177,'07.08'!$K$4:$K$11)+SUMIF('07.08'!$L$4:$L$11,A177,'07.08'!$M$4:$M$11)+SUMIF('07.08'!$N$4:$N$11,A177,'07.08'!$O$4:$O$11)</f>
        <v>0</v>
      </c>
      <c r="O181" s="15">
        <f>SUMIF('08.08'!$B$4:$B$11,A177,'08.08'!$C$4:$C$11)+SUMIF('08.08'!$D$4:$D$11,A177,'08.08'!$E$4:$E$11)+SUMIF('08.08'!$F$4:$F$11,A177,'08.08'!$G$4:$G$11)+SUMIF('08.08'!$H$4:$H$11,A177,'08.08'!$I$4:$I$11)+SUMIF('08.08'!$J$4:$J$11,A177,'08.08'!$K$4:$K$11)+SUMIF('08.08'!$L$4:$L$11,A177,'08.08'!$M$4:$M$11)+SUMIF('08.08'!$N$4:$N$11,A177,'08.08'!$O$4:$O$11)</f>
        <v>0</v>
      </c>
      <c r="P181" s="15">
        <f>SUMIF('09.08'!$B$4:$B$11,A177,'09.08'!$C$4:$C$11)+SUMIF('09.08'!$D$4:$D$11,A177,'09.08'!$E$4:$E$11)+SUMIF('09.08'!$F$4:$F$11,A177,'09.08'!$G$4:$G$11)+SUMIF('09.08'!$H$4:$H$11,A177,'09.08'!$I$4:$I$11)+SUMIF('09.08'!$J$4:$J$11,A177,'09.08'!$K$4:$K$11)+SUMIF('09.08'!$L$4:$L$11,A177,'09.08'!$M$4:$M$11)+SUMIF('09.08'!$N$4:$N$11,A177,'09.08'!$O$4:$O$11)</f>
        <v>0</v>
      </c>
      <c r="Q181" s="15">
        <f>SUMIF('10.08'!$B$4:$B$11,A177,'10.08'!$C$4:$C$11)+SUMIF('10.08'!$D$4:$D$11,A177,'10.08'!$E$4:$E$11)+SUMIF('10.08'!$F$4:$F$11,A177,'10.08'!$G$4:$G$11)+SUMIF('10.08'!$H$4:$H$11,A177,'10.08'!$I$4:$I$11)+SUMIF('10.08'!$J$4:$J$11,A177,'10.08'!$K$4:$K$11)+SUMIF('10.08'!$L$4:$L$11,A177,'10.08'!$M$4:$M$11)+SUMIF('10.08'!$N$4:$N$11,A177,'10.08'!$O$4:$O$11)</f>
        <v>0</v>
      </c>
      <c r="R181" s="16" t="str">
        <f t="shared" si="14"/>
        <v>#N/A</v>
      </c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</row>
    <row r="182">
      <c r="A182" s="39" t="str">
        <f>'список продуктов'!A202</f>
        <v/>
      </c>
      <c r="B182" s="39" t="str">
        <f>'список продуктов'!B202</f>
        <v/>
      </c>
      <c r="C182" s="39" t="str">
        <f>'список продуктов'!C202</f>
        <v/>
      </c>
      <c r="D182" s="39" t="str">
        <f>'список продуктов'!D202</f>
        <v/>
      </c>
      <c r="E182" s="39" t="str">
        <f>'список продуктов'!E202</f>
        <v/>
      </c>
      <c r="F182" s="47" t="str">
        <f t="shared" si="15"/>
        <v>#N/A</v>
      </c>
      <c r="G182" s="47" t="str">
        <f t="shared" si="10"/>
        <v>Введите занчения</v>
      </c>
      <c r="H182" s="48" t="str">
        <f t="shared" si="12"/>
        <v>Введите занчения</v>
      </c>
      <c r="I182" s="14">
        <f>SUMIF('02.08'!$B$4:$B$11,A178,'02.08'!$C$4:$C$11)+SUMIF('02.08'!$D$4:$D$11,A178,'02.08'!$E$4:$E$11)+SUMIF('02.08'!$F$4:$F$11,A178,'02.08'!$G$4:$G$11)+SUMIF('02.08'!$H$4:$H$11,A178,'02.08'!$I$4:$I$11)+SUMIF('02.08'!$J$4:$J$11,A178,'02.08'!$K$4:$K$11)+SUMIF('02.08'!$L$4:$L$11,A178,'02.08'!$M$4:$M$11)+SUMIF('02.08'!$N$4:$N$11,A178,'02.08'!$O$4:$O$11)</f>
        <v>0</v>
      </c>
      <c r="J182" s="15">
        <f>SUMIF('03.08'!$B$4:$B$11,A178,'03.08'!$C$4:$C$11)+SUMIF('03.08'!$D$4:$D$11,A178,'03.08'!$E$4:$E$11)+SUMIF('03.08'!$F$4:$F$11,A178,'03.08'!$G$4:$G$11)+SUMIF('03.08'!$H$4:$H$11,A178,'03.08'!$I$4:$I$11)+SUMIF('03.08'!$J$4:$J$11,A178,'03.08'!$K$4:$K$11)+SUMIF('03.08'!$L$4:$L$11,A178,'03.08'!$M$4:$M$11)+SUMIF('03.08'!$N$4:$N$11,A178,'03.08'!$O$4:$O$11)</f>
        <v>0</v>
      </c>
      <c r="K182" s="15">
        <f>SUMIF('04.08'!$B$4:$B$11,A178,'04.08'!$C$4:$C$11)+SUMIF('04.08'!$D$4:$D$11,A178,'04.08'!$E$4:$E$11)+SUMIF('04.08'!$F$4:$F$11,A178,'04.08'!$G$4:$G$11)+SUMIF('04.08'!$H$4:$H$11,A178,'04.08'!$I$4:$I$11)+SUMIF('04.08'!$J$4:$J$11,A178,'04.08'!$K$4:$K$11)+SUMIF('04.08'!$L$4:$L$11,A178,'04.08'!$M$4:$M$11)+SUMIF('04.08'!$N$4:$N$11,A178,'04.08'!$O$4:$O$11)</f>
        <v>0</v>
      </c>
      <c r="L182" s="15">
        <f>SUMIF('05.08'!$B$4:$B$11,A178,'05.08'!$C$4:$C$11)+SUMIF('05.08'!$D$4:$D$11,A178,'05.08'!$E$4:$E$11)+SUMIF('05.08'!$F$4:$F$11,A178,'05.08'!$G$4:$G$11)+SUMIF('05.08'!$H$4:$H$11,A178,'05.08'!$I$4:$I$11)+SUMIF('05.08'!$J$4:$J$11,A178,'05.08'!$K$4:$K$11)+SUMIF('05.08'!$L$4:$L$11,A178,'05.08'!$M$4:$M$11)+SUMIF('05.08'!$N$4:$N$11,A178,'05.08'!$O$4:$O$11)</f>
        <v>0</v>
      </c>
      <c r="M182" s="15">
        <f>SUMIF('06.08'!$B$4:$B$11,A178,'06.08'!$C$4:$C$11)+SUMIF('06.08'!$D$4:$D$11,A178,'06.08'!$E$4:$E$11)+SUMIF('06.08'!$F$4:$F$11,A178,'06.08'!$G$4:$G$11)+SUMIF('06.08'!$H$4:$H$11,A178,'06.08'!$I$4:$I$11)+SUMIF('06.08'!$J$4:$J$11,A178,'06.08'!$K$4:$K$11)+SUMIF('06.08'!$L$4:$L$11,A178,'06.08'!$M$4:$M$11)+SUMIF('06.08'!$N$4:$N$11,A178,'06.08'!$O$4:$O$11)</f>
        <v>0</v>
      </c>
      <c r="N182" s="15">
        <f>SUMIF('07.08'!$B$4:$B$11,A178,'07.08'!$C$4:$C$11)+SUMIF('07.08'!$D$4:$D$11,A178,'07.08'!$E$4:$E$11)+SUMIF('07.08'!$F$4:$F$11,A178,'07.08'!$G$4:$G$11)+SUMIF('07.08'!$H$4:$H$11,A178,'07.08'!$I$4:$I$11)+SUMIF('07.08'!$J$4:$J$11,A178,'07.08'!$K$4:$K$11)+SUMIF('07.08'!$L$4:$L$11,A178,'07.08'!$M$4:$M$11)+SUMIF('07.08'!$N$4:$N$11,A178,'07.08'!$O$4:$O$11)</f>
        <v>0</v>
      </c>
      <c r="O182" s="15">
        <f>SUMIF('08.08'!$B$4:$B$11,A178,'08.08'!$C$4:$C$11)+SUMIF('08.08'!$D$4:$D$11,A178,'08.08'!$E$4:$E$11)+SUMIF('08.08'!$F$4:$F$11,A178,'08.08'!$G$4:$G$11)+SUMIF('08.08'!$H$4:$H$11,A178,'08.08'!$I$4:$I$11)+SUMIF('08.08'!$J$4:$J$11,A178,'08.08'!$K$4:$K$11)+SUMIF('08.08'!$L$4:$L$11,A178,'08.08'!$M$4:$M$11)+SUMIF('08.08'!$N$4:$N$11,A178,'08.08'!$O$4:$O$11)</f>
        <v>0</v>
      </c>
      <c r="P182" s="15">
        <f>SUMIF('09.08'!$B$4:$B$11,A178,'09.08'!$C$4:$C$11)+SUMIF('09.08'!$D$4:$D$11,A178,'09.08'!$E$4:$E$11)+SUMIF('09.08'!$F$4:$F$11,A178,'09.08'!$G$4:$G$11)+SUMIF('09.08'!$H$4:$H$11,A178,'09.08'!$I$4:$I$11)+SUMIF('09.08'!$J$4:$J$11,A178,'09.08'!$K$4:$K$11)+SUMIF('09.08'!$L$4:$L$11,A178,'09.08'!$M$4:$M$11)+SUMIF('09.08'!$N$4:$N$11,A178,'09.08'!$O$4:$O$11)</f>
        <v>0</v>
      </c>
      <c r="Q182" s="15">
        <f>SUMIF('10.08'!$B$4:$B$11,A178,'10.08'!$C$4:$C$11)+SUMIF('10.08'!$D$4:$D$11,A178,'10.08'!$E$4:$E$11)+SUMIF('10.08'!$F$4:$F$11,A178,'10.08'!$G$4:$G$11)+SUMIF('10.08'!$H$4:$H$11,A178,'10.08'!$I$4:$I$11)+SUMIF('10.08'!$J$4:$J$11,A178,'10.08'!$K$4:$K$11)+SUMIF('10.08'!$L$4:$L$11,A178,'10.08'!$M$4:$M$11)+SUMIF('10.08'!$N$4:$N$11,A178,'10.08'!$O$4:$O$11)</f>
        <v>0</v>
      </c>
      <c r="R182" s="16" t="str">
        <f t="shared" si="14"/>
        <v>#N/A</v>
      </c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</row>
    <row r="183">
      <c r="A183" s="39" t="str">
        <f>'список продуктов'!A203</f>
        <v/>
      </c>
      <c r="B183" s="39" t="str">
        <f>'список продуктов'!B203</f>
        <v/>
      </c>
      <c r="C183" s="39" t="str">
        <f>'список продуктов'!C203</f>
        <v/>
      </c>
      <c r="D183" s="39" t="str">
        <f>'список продуктов'!D203</f>
        <v/>
      </c>
      <c r="E183" s="39" t="str">
        <f>'список продуктов'!E203</f>
        <v/>
      </c>
      <c r="F183" s="47" t="str">
        <f t="shared" si="15"/>
        <v>#N/A</v>
      </c>
      <c r="G183" s="47" t="str">
        <f t="shared" si="10"/>
        <v>Введите занчения</v>
      </c>
      <c r="H183" s="48" t="str">
        <f t="shared" si="12"/>
        <v>Введите занчения</v>
      </c>
      <c r="I183" s="14">
        <f>SUMIF('02.08'!$B$4:$B$11,A179,'02.08'!$C$4:$C$11)+SUMIF('02.08'!$D$4:$D$11,A179,'02.08'!$E$4:$E$11)+SUMIF('02.08'!$F$4:$F$11,A179,'02.08'!$G$4:$G$11)+SUMIF('02.08'!$H$4:$H$11,A179,'02.08'!$I$4:$I$11)+SUMIF('02.08'!$J$4:$J$11,A179,'02.08'!$K$4:$K$11)+SUMIF('02.08'!$L$4:$L$11,A179,'02.08'!$M$4:$M$11)+SUMIF('02.08'!$N$4:$N$11,A179,'02.08'!$O$4:$O$11)</f>
        <v>0</v>
      </c>
      <c r="J183" s="15">
        <f>SUMIF('03.08'!$B$4:$B$11,A179,'03.08'!$C$4:$C$11)+SUMIF('03.08'!$D$4:$D$11,A179,'03.08'!$E$4:$E$11)+SUMIF('03.08'!$F$4:$F$11,A179,'03.08'!$G$4:$G$11)+SUMIF('03.08'!$H$4:$H$11,A179,'03.08'!$I$4:$I$11)+SUMIF('03.08'!$J$4:$J$11,A179,'03.08'!$K$4:$K$11)+SUMIF('03.08'!$L$4:$L$11,A179,'03.08'!$M$4:$M$11)+SUMIF('03.08'!$N$4:$N$11,A179,'03.08'!$O$4:$O$11)</f>
        <v>0</v>
      </c>
      <c r="K183" s="15">
        <f>SUMIF('04.08'!$B$4:$B$11,A179,'04.08'!$C$4:$C$11)+SUMIF('04.08'!$D$4:$D$11,A179,'04.08'!$E$4:$E$11)+SUMIF('04.08'!$F$4:$F$11,A179,'04.08'!$G$4:$G$11)+SUMIF('04.08'!$H$4:$H$11,A179,'04.08'!$I$4:$I$11)+SUMIF('04.08'!$J$4:$J$11,A179,'04.08'!$K$4:$K$11)+SUMIF('04.08'!$L$4:$L$11,A179,'04.08'!$M$4:$M$11)+SUMIF('04.08'!$N$4:$N$11,A179,'04.08'!$O$4:$O$11)</f>
        <v>0</v>
      </c>
      <c r="L183" s="15">
        <f>SUMIF('05.08'!$B$4:$B$11,A179,'05.08'!$C$4:$C$11)+SUMIF('05.08'!$D$4:$D$11,A179,'05.08'!$E$4:$E$11)+SUMIF('05.08'!$F$4:$F$11,A179,'05.08'!$G$4:$G$11)+SUMIF('05.08'!$H$4:$H$11,A179,'05.08'!$I$4:$I$11)+SUMIF('05.08'!$J$4:$J$11,A179,'05.08'!$K$4:$K$11)+SUMIF('05.08'!$L$4:$L$11,A179,'05.08'!$M$4:$M$11)+SUMIF('05.08'!$N$4:$N$11,A179,'05.08'!$O$4:$O$11)</f>
        <v>0</v>
      </c>
      <c r="M183" s="15">
        <f>SUMIF('06.08'!$B$4:$B$11,A179,'06.08'!$C$4:$C$11)+SUMIF('06.08'!$D$4:$D$11,A179,'06.08'!$E$4:$E$11)+SUMIF('06.08'!$F$4:$F$11,A179,'06.08'!$G$4:$G$11)+SUMIF('06.08'!$H$4:$H$11,A179,'06.08'!$I$4:$I$11)+SUMIF('06.08'!$J$4:$J$11,A179,'06.08'!$K$4:$K$11)+SUMIF('06.08'!$L$4:$L$11,A179,'06.08'!$M$4:$M$11)+SUMIF('06.08'!$N$4:$N$11,A179,'06.08'!$O$4:$O$11)</f>
        <v>0</v>
      </c>
      <c r="N183" s="15">
        <f>SUMIF('07.08'!$B$4:$B$11,A179,'07.08'!$C$4:$C$11)+SUMIF('07.08'!$D$4:$D$11,A179,'07.08'!$E$4:$E$11)+SUMIF('07.08'!$F$4:$F$11,A179,'07.08'!$G$4:$G$11)+SUMIF('07.08'!$H$4:$H$11,A179,'07.08'!$I$4:$I$11)+SUMIF('07.08'!$J$4:$J$11,A179,'07.08'!$K$4:$K$11)+SUMIF('07.08'!$L$4:$L$11,A179,'07.08'!$M$4:$M$11)+SUMIF('07.08'!$N$4:$N$11,A179,'07.08'!$O$4:$O$11)</f>
        <v>0</v>
      </c>
      <c r="O183" s="15">
        <f>SUMIF('08.08'!$B$4:$B$11,A179,'08.08'!$C$4:$C$11)+SUMIF('08.08'!$D$4:$D$11,A179,'08.08'!$E$4:$E$11)+SUMIF('08.08'!$F$4:$F$11,A179,'08.08'!$G$4:$G$11)+SUMIF('08.08'!$H$4:$H$11,A179,'08.08'!$I$4:$I$11)+SUMIF('08.08'!$J$4:$J$11,A179,'08.08'!$K$4:$K$11)+SUMIF('08.08'!$L$4:$L$11,A179,'08.08'!$M$4:$M$11)+SUMIF('08.08'!$N$4:$N$11,A179,'08.08'!$O$4:$O$11)</f>
        <v>0</v>
      </c>
      <c r="P183" s="15">
        <f>SUMIF('09.08'!$B$4:$B$11,A179,'09.08'!$C$4:$C$11)+SUMIF('09.08'!$D$4:$D$11,A179,'09.08'!$E$4:$E$11)+SUMIF('09.08'!$F$4:$F$11,A179,'09.08'!$G$4:$G$11)+SUMIF('09.08'!$H$4:$H$11,A179,'09.08'!$I$4:$I$11)+SUMIF('09.08'!$J$4:$J$11,A179,'09.08'!$K$4:$K$11)+SUMIF('09.08'!$L$4:$L$11,A179,'09.08'!$M$4:$M$11)+SUMIF('09.08'!$N$4:$N$11,A179,'09.08'!$O$4:$O$11)</f>
        <v>0</v>
      </c>
      <c r="Q183" s="15">
        <f>SUMIF('10.08'!$B$4:$B$11,A179,'10.08'!$C$4:$C$11)+SUMIF('10.08'!$D$4:$D$11,A179,'10.08'!$E$4:$E$11)+SUMIF('10.08'!$F$4:$F$11,A179,'10.08'!$G$4:$G$11)+SUMIF('10.08'!$H$4:$H$11,A179,'10.08'!$I$4:$I$11)+SUMIF('10.08'!$J$4:$J$11,A179,'10.08'!$K$4:$K$11)+SUMIF('10.08'!$L$4:$L$11,A179,'10.08'!$M$4:$M$11)+SUMIF('10.08'!$N$4:$N$11,A179,'10.08'!$O$4:$O$11)</f>
        <v>0</v>
      </c>
      <c r="R183" s="16" t="str">
        <f t="shared" si="14"/>
        <v>#N/A</v>
      </c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</row>
    <row r="184">
      <c r="A184" s="8"/>
      <c r="B184" s="8"/>
      <c r="C184" s="8"/>
      <c r="D184" s="8"/>
      <c r="E184" s="8"/>
      <c r="F184" s="49"/>
      <c r="G184" s="49"/>
      <c r="H184" s="50"/>
      <c r="I184" s="14">
        <f>SUMIF('02.08'!$B$4:$B$11,A180,'02.08'!$C$4:$C$11)+SUMIF('02.08'!$D$4:$D$11,A180,'02.08'!$E$4:$E$11)+SUMIF('02.08'!$F$4:$F$11,A180,'02.08'!$G$4:$G$11)+SUMIF('02.08'!$H$4:$H$11,A180,'02.08'!$I$4:$I$11)+SUMIF('02.08'!$J$4:$J$11,A180,'02.08'!$K$4:$K$11)+SUMIF('02.08'!$L$4:$L$11,A180,'02.08'!$M$4:$M$11)+SUMIF('02.08'!$N$4:$N$11,A180,'02.08'!$O$4:$O$11)</f>
        <v>0</v>
      </c>
      <c r="J184" s="15">
        <f>SUMIF('03.08'!$B$4:$B$11,A180,'03.08'!$C$4:$C$11)+SUMIF('03.08'!$D$4:$D$11,A180,'03.08'!$E$4:$E$11)+SUMIF('03.08'!$F$4:$F$11,A180,'03.08'!$G$4:$G$11)+SUMIF('03.08'!$H$4:$H$11,A180,'03.08'!$I$4:$I$11)+SUMIF('03.08'!$J$4:$J$11,A180,'03.08'!$K$4:$K$11)+SUMIF('03.08'!$L$4:$L$11,A180,'03.08'!$M$4:$M$11)+SUMIF('03.08'!$N$4:$N$11,A180,'03.08'!$O$4:$O$11)</f>
        <v>0</v>
      </c>
      <c r="K184" s="15">
        <f>SUMIF('04.08'!$B$4:$B$11,A180,'04.08'!$C$4:$C$11)+SUMIF('04.08'!$D$4:$D$11,A180,'04.08'!$E$4:$E$11)+SUMIF('04.08'!$F$4:$F$11,A180,'04.08'!$G$4:$G$11)+SUMIF('04.08'!$H$4:$H$11,A180,'04.08'!$I$4:$I$11)+SUMIF('04.08'!$J$4:$J$11,A180,'04.08'!$K$4:$K$11)+SUMIF('04.08'!$L$4:$L$11,A180,'04.08'!$M$4:$M$11)+SUMIF('04.08'!$N$4:$N$11,A180,'04.08'!$O$4:$O$11)</f>
        <v>0</v>
      </c>
      <c r="L184" s="15">
        <f>SUMIF('05.08'!$B$4:$B$11,A180,'05.08'!$C$4:$C$11)+SUMIF('05.08'!$D$4:$D$11,A180,'05.08'!$E$4:$E$11)+SUMIF('05.08'!$F$4:$F$11,A180,'05.08'!$G$4:$G$11)+SUMIF('05.08'!$H$4:$H$11,A180,'05.08'!$I$4:$I$11)+SUMIF('05.08'!$J$4:$J$11,A180,'05.08'!$K$4:$K$11)+SUMIF('05.08'!$L$4:$L$11,A180,'05.08'!$M$4:$M$11)+SUMIF('05.08'!$N$4:$N$11,A180,'05.08'!$O$4:$O$11)</f>
        <v>0</v>
      </c>
      <c r="M184" s="15">
        <f>SUMIF('06.08'!$B$4:$B$11,A180,'06.08'!$C$4:$C$11)+SUMIF('06.08'!$D$4:$D$11,A180,'06.08'!$E$4:$E$11)+SUMIF('06.08'!$F$4:$F$11,A180,'06.08'!$G$4:$G$11)+SUMIF('06.08'!$H$4:$H$11,A180,'06.08'!$I$4:$I$11)+SUMIF('06.08'!$J$4:$J$11,A180,'06.08'!$K$4:$K$11)+SUMIF('06.08'!$L$4:$L$11,A180,'06.08'!$M$4:$M$11)+SUMIF('06.08'!$N$4:$N$11,A180,'06.08'!$O$4:$O$11)</f>
        <v>0</v>
      </c>
      <c r="N184" s="15">
        <f>SUMIF('07.08'!$B$4:$B$11,A180,'07.08'!$C$4:$C$11)+SUMIF('07.08'!$D$4:$D$11,A180,'07.08'!$E$4:$E$11)+SUMIF('07.08'!$F$4:$F$11,A180,'07.08'!$G$4:$G$11)+SUMIF('07.08'!$H$4:$H$11,A180,'07.08'!$I$4:$I$11)+SUMIF('07.08'!$J$4:$J$11,A180,'07.08'!$K$4:$K$11)+SUMIF('07.08'!$L$4:$L$11,A180,'07.08'!$M$4:$M$11)+SUMIF('07.08'!$N$4:$N$11,A180,'07.08'!$O$4:$O$11)</f>
        <v>0</v>
      </c>
      <c r="O184" s="15">
        <f>SUMIF('08.08'!$B$4:$B$11,A180,'08.08'!$C$4:$C$11)+SUMIF('08.08'!$D$4:$D$11,A180,'08.08'!$E$4:$E$11)+SUMIF('08.08'!$F$4:$F$11,A180,'08.08'!$G$4:$G$11)+SUMIF('08.08'!$H$4:$H$11,A180,'08.08'!$I$4:$I$11)+SUMIF('08.08'!$J$4:$J$11,A180,'08.08'!$K$4:$K$11)+SUMIF('08.08'!$L$4:$L$11,A180,'08.08'!$M$4:$M$11)+SUMIF('08.08'!$N$4:$N$11,A180,'08.08'!$O$4:$O$11)</f>
        <v>0</v>
      </c>
      <c r="P184" s="15">
        <f>SUMIF('09.08'!$B$4:$B$11,A180,'09.08'!$C$4:$C$11)+SUMIF('09.08'!$D$4:$D$11,A180,'09.08'!$E$4:$E$11)+SUMIF('09.08'!$F$4:$F$11,A180,'09.08'!$G$4:$G$11)+SUMIF('09.08'!$H$4:$H$11,A180,'09.08'!$I$4:$I$11)+SUMIF('09.08'!$J$4:$J$11,A180,'09.08'!$K$4:$K$11)+SUMIF('09.08'!$L$4:$L$11,A180,'09.08'!$M$4:$M$11)+SUMIF('09.08'!$N$4:$N$11,A180,'09.08'!$O$4:$O$11)</f>
        <v>0</v>
      </c>
      <c r="Q184" s="15">
        <f>SUMIF('10.08'!$B$4:$B$11,A180,'10.08'!$C$4:$C$11)+SUMIF('10.08'!$D$4:$D$11,A180,'10.08'!$E$4:$E$11)+SUMIF('10.08'!$F$4:$F$11,A180,'10.08'!$G$4:$G$11)+SUMIF('10.08'!$H$4:$H$11,A180,'10.08'!$I$4:$I$11)+SUMIF('10.08'!$J$4:$J$11,A180,'10.08'!$K$4:$K$11)+SUMIF('10.08'!$L$4:$L$11,A180,'10.08'!$M$4:$M$11)+SUMIF('10.08'!$N$4:$N$11,A180,'10.08'!$O$4:$O$11)</f>
        <v>0</v>
      </c>
      <c r="R184" s="16" t="str">
        <f t="shared" si="14"/>
        <v>#N/A</v>
      </c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</row>
    <row r="185">
      <c r="A185" s="8"/>
      <c r="B185" s="8"/>
      <c r="C185" s="8"/>
      <c r="D185" s="8"/>
      <c r="E185" s="8"/>
      <c r="F185" s="49"/>
      <c r="G185" s="49"/>
      <c r="H185" s="50"/>
      <c r="I185" s="14">
        <f>SUMIF('02.08'!$B$4:$B$11,A181,'02.08'!$C$4:$C$11)+SUMIF('02.08'!$D$4:$D$11,A181,'02.08'!$E$4:$E$11)+SUMIF('02.08'!$F$4:$F$11,A181,'02.08'!$G$4:$G$11)+SUMIF('02.08'!$H$4:$H$11,A181,'02.08'!$I$4:$I$11)+SUMIF('02.08'!$J$4:$J$11,A181,'02.08'!$K$4:$K$11)+SUMIF('02.08'!$L$4:$L$11,A181,'02.08'!$M$4:$M$11)+SUMIF('02.08'!$N$4:$N$11,A181,'02.08'!$O$4:$O$11)</f>
        <v>0</v>
      </c>
      <c r="J185" s="15">
        <f>SUMIF('03.08'!$B$4:$B$11,A181,'03.08'!$C$4:$C$11)+SUMIF('03.08'!$D$4:$D$11,A181,'03.08'!$E$4:$E$11)+SUMIF('03.08'!$F$4:$F$11,A181,'03.08'!$G$4:$G$11)+SUMIF('03.08'!$H$4:$H$11,A181,'03.08'!$I$4:$I$11)+SUMIF('03.08'!$J$4:$J$11,A181,'03.08'!$K$4:$K$11)+SUMIF('03.08'!$L$4:$L$11,A181,'03.08'!$M$4:$M$11)+SUMIF('03.08'!$N$4:$N$11,A181,'03.08'!$O$4:$O$11)</f>
        <v>0</v>
      </c>
      <c r="K185" s="15">
        <f>SUMIF('04.08'!$B$4:$B$11,A181,'04.08'!$C$4:$C$11)+SUMIF('04.08'!$D$4:$D$11,A181,'04.08'!$E$4:$E$11)+SUMIF('04.08'!$F$4:$F$11,A181,'04.08'!$G$4:$G$11)+SUMIF('04.08'!$H$4:$H$11,A181,'04.08'!$I$4:$I$11)+SUMIF('04.08'!$J$4:$J$11,A181,'04.08'!$K$4:$K$11)+SUMIF('04.08'!$L$4:$L$11,A181,'04.08'!$M$4:$M$11)+SUMIF('04.08'!$N$4:$N$11,A181,'04.08'!$O$4:$O$11)</f>
        <v>0</v>
      </c>
      <c r="L185" s="15">
        <f>SUMIF('05.08'!$B$4:$B$11,A181,'05.08'!$C$4:$C$11)+SUMIF('05.08'!$D$4:$D$11,A181,'05.08'!$E$4:$E$11)+SUMIF('05.08'!$F$4:$F$11,A181,'05.08'!$G$4:$G$11)+SUMIF('05.08'!$H$4:$H$11,A181,'05.08'!$I$4:$I$11)+SUMIF('05.08'!$J$4:$J$11,A181,'05.08'!$K$4:$K$11)+SUMIF('05.08'!$L$4:$L$11,A181,'05.08'!$M$4:$M$11)+SUMIF('05.08'!$N$4:$N$11,A181,'05.08'!$O$4:$O$11)</f>
        <v>0</v>
      </c>
      <c r="M185" s="15">
        <f>SUMIF('06.08'!$B$4:$B$11,A181,'06.08'!$C$4:$C$11)+SUMIF('06.08'!$D$4:$D$11,A181,'06.08'!$E$4:$E$11)+SUMIF('06.08'!$F$4:$F$11,A181,'06.08'!$G$4:$G$11)+SUMIF('06.08'!$H$4:$H$11,A181,'06.08'!$I$4:$I$11)+SUMIF('06.08'!$J$4:$J$11,A181,'06.08'!$K$4:$K$11)+SUMIF('06.08'!$L$4:$L$11,A181,'06.08'!$M$4:$M$11)+SUMIF('06.08'!$N$4:$N$11,A181,'06.08'!$O$4:$O$11)</f>
        <v>0</v>
      </c>
      <c r="N185" s="15">
        <f>SUMIF('07.08'!$B$4:$B$11,A181,'07.08'!$C$4:$C$11)+SUMIF('07.08'!$D$4:$D$11,A181,'07.08'!$E$4:$E$11)+SUMIF('07.08'!$F$4:$F$11,A181,'07.08'!$G$4:$G$11)+SUMIF('07.08'!$H$4:$H$11,A181,'07.08'!$I$4:$I$11)+SUMIF('07.08'!$J$4:$J$11,A181,'07.08'!$K$4:$K$11)+SUMIF('07.08'!$L$4:$L$11,A181,'07.08'!$M$4:$M$11)+SUMIF('07.08'!$N$4:$N$11,A181,'07.08'!$O$4:$O$11)</f>
        <v>0</v>
      </c>
      <c r="O185" s="15">
        <f>SUMIF('08.08'!$B$4:$B$11,A181,'08.08'!$C$4:$C$11)+SUMIF('08.08'!$D$4:$D$11,A181,'08.08'!$E$4:$E$11)+SUMIF('08.08'!$F$4:$F$11,A181,'08.08'!$G$4:$G$11)+SUMIF('08.08'!$H$4:$H$11,A181,'08.08'!$I$4:$I$11)+SUMIF('08.08'!$J$4:$J$11,A181,'08.08'!$K$4:$K$11)+SUMIF('08.08'!$L$4:$L$11,A181,'08.08'!$M$4:$M$11)+SUMIF('08.08'!$N$4:$N$11,A181,'08.08'!$O$4:$O$11)</f>
        <v>0</v>
      </c>
      <c r="P185" s="15">
        <f>SUMIF('09.08'!$B$4:$B$11,A181,'09.08'!$C$4:$C$11)+SUMIF('09.08'!$D$4:$D$11,A181,'09.08'!$E$4:$E$11)+SUMIF('09.08'!$F$4:$F$11,A181,'09.08'!$G$4:$G$11)+SUMIF('09.08'!$H$4:$H$11,A181,'09.08'!$I$4:$I$11)+SUMIF('09.08'!$J$4:$J$11,A181,'09.08'!$K$4:$K$11)+SUMIF('09.08'!$L$4:$L$11,A181,'09.08'!$M$4:$M$11)+SUMIF('09.08'!$N$4:$N$11,A181,'09.08'!$O$4:$O$11)</f>
        <v>0</v>
      </c>
      <c r="Q185" s="15">
        <f>SUMIF('10.08'!$B$4:$B$11,A181,'10.08'!$C$4:$C$11)+SUMIF('10.08'!$D$4:$D$11,A181,'10.08'!$E$4:$E$11)+SUMIF('10.08'!$F$4:$F$11,A181,'10.08'!$G$4:$G$11)+SUMIF('10.08'!$H$4:$H$11,A181,'10.08'!$I$4:$I$11)+SUMIF('10.08'!$J$4:$J$11,A181,'10.08'!$K$4:$K$11)+SUMIF('10.08'!$L$4:$L$11,A181,'10.08'!$M$4:$M$11)+SUMIF('10.08'!$N$4:$N$11,A181,'10.08'!$O$4:$O$11)</f>
        <v>0</v>
      </c>
      <c r="R185" s="16" t="str">
        <f t="shared" si="14"/>
        <v>#N/A</v>
      </c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</row>
    <row r="186">
      <c r="A186" s="8"/>
      <c r="B186" s="8"/>
      <c r="C186" s="8"/>
      <c r="D186" s="8"/>
      <c r="E186" s="8"/>
      <c r="F186" s="49"/>
      <c r="G186" s="49"/>
      <c r="H186" s="50"/>
      <c r="I186" s="14">
        <f>SUMIF('02.08'!$B$4:$B$11,A182,'02.08'!$C$4:$C$11)+SUMIF('02.08'!$D$4:$D$11,A182,'02.08'!$E$4:$E$11)+SUMIF('02.08'!$F$4:$F$11,A182,'02.08'!$G$4:$G$11)+SUMIF('02.08'!$H$4:$H$11,A182,'02.08'!$I$4:$I$11)+SUMIF('02.08'!$J$4:$J$11,A182,'02.08'!$K$4:$K$11)+SUMIF('02.08'!$L$4:$L$11,A182,'02.08'!$M$4:$M$11)+SUMIF('02.08'!$N$4:$N$11,A182,'02.08'!$O$4:$O$11)</f>
        <v>0</v>
      </c>
      <c r="J186" s="15">
        <f>SUMIF('03.08'!$B$4:$B$11,A182,'03.08'!$C$4:$C$11)+SUMIF('03.08'!$D$4:$D$11,A182,'03.08'!$E$4:$E$11)+SUMIF('03.08'!$F$4:$F$11,A182,'03.08'!$G$4:$G$11)+SUMIF('03.08'!$H$4:$H$11,A182,'03.08'!$I$4:$I$11)+SUMIF('03.08'!$J$4:$J$11,A182,'03.08'!$K$4:$K$11)+SUMIF('03.08'!$L$4:$L$11,A182,'03.08'!$M$4:$M$11)+SUMIF('03.08'!$N$4:$N$11,A182,'03.08'!$O$4:$O$11)</f>
        <v>0</v>
      </c>
      <c r="K186" s="15">
        <f>SUMIF('04.08'!$B$4:$B$11,A182,'04.08'!$C$4:$C$11)+SUMIF('04.08'!$D$4:$D$11,A182,'04.08'!$E$4:$E$11)+SUMIF('04.08'!$F$4:$F$11,A182,'04.08'!$G$4:$G$11)+SUMIF('04.08'!$H$4:$H$11,A182,'04.08'!$I$4:$I$11)+SUMIF('04.08'!$J$4:$J$11,A182,'04.08'!$K$4:$K$11)+SUMIF('04.08'!$L$4:$L$11,A182,'04.08'!$M$4:$M$11)+SUMIF('04.08'!$N$4:$N$11,A182,'04.08'!$O$4:$O$11)</f>
        <v>0</v>
      </c>
      <c r="L186" s="15">
        <f>SUMIF('05.08'!$B$4:$B$11,A182,'05.08'!$C$4:$C$11)+SUMIF('05.08'!$D$4:$D$11,A182,'05.08'!$E$4:$E$11)+SUMIF('05.08'!$F$4:$F$11,A182,'05.08'!$G$4:$G$11)+SUMIF('05.08'!$H$4:$H$11,A182,'05.08'!$I$4:$I$11)+SUMIF('05.08'!$J$4:$J$11,A182,'05.08'!$K$4:$K$11)+SUMIF('05.08'!$L$4:$L$11,A182,'05.08'!$M$4:$M$11)+SUMIF('05.08'!$N$4:$N$11,A182,'05.08'!$O$4:$O$11)</f>
        <v>0</v>
      </c>
      <c r="M186" s="15">
        <f>SUMIF('06.08'!$B$4:$B$11,A182,'06.08'!$C$4:$C$11)+SUMIF('06.08'!$D$4:$D$11,A182,'06.08'!$E$4:$E$11)+SUMIF('06.08'!$F$4:$F$11,A182,'06.08'!$G$4:$G$11)+SUMIF('06.08'!$H$4:$H$11,A182,'06.08'!$I$4:$I$11)+SUMIF('06.08'!$J$4:$J$11,A182,'06.08'!$K$4:$K$11)+SUMIF('06.08'!$L$4:$L$11,A182,'06.08'!$M$4:$M$11)+SUMIF('06.08'!$N$4:$N$11,A182,'06.08'!$O$4:$O$11)</f>
        <v>0</v>
      </c>
      <c r="N186" s="15">
        <f>SUMIF('07.08'!$B$4:$B$11,A182,'07.08'!$C$4:$C$11)+SUMIF('07.08'!$D$4:$D$11,A182,'07.08'!$E$4:$E$11)+SUMIF('07.08'!$F$4:$F$11,A182,'07.08'!$G$4:$G$11)+SUMIF('07.08'!$H$4:$H$11,A182,'07.08'!$I$4:$I$11)+SUMIF('07.08'!$J$4:$J$11,A182,'07.08'!$K$4:$K$11)+SUMIF('07.08'!$L$4:$L$11,A182,'07.08'!$M$4:$M$11)+SUMIF('07.08'!$N$4:$N$11,A182,'07.08'!$O$4:$O$11)</f>
        <v>0</v>
      </c>
      <c r="O186" s="15">
        <f>SUMIF('08.08'!$B$4:$B$11,A182,'08.08'!$C$4:$C$11)+SUMIF('08.08'!$D$4:$D$11,A182,'08.08'!$E$4:$E$11)+SUMIF('08.08'!$F$4:$F$11,A182,'08.08'!$G$4:$G$11)+SUMIF('08.08'!$H$4:$H$11,A182,'08.08'!$I$4:$I$11)+SUMIF('08.08'!$J$4:$J$11,A182,'08.08'!$K$4:$K$11)+SUMIF('08.08'!$L$4:$L$11,A182,'08.08'!$M$4:$M$11)+SUMIF('08.08'!$N$4:$N$11,A182,'08.08'!$O$4:$O$11)</f>
        <v>0</v>
      </c>
      <c r="P186" s="15">
        <f>SUMIF('09.08'!$B$4:$B$11,A182,'09.08'!$C$4:$C$11)+SUMIF('09.08'!$D$4:$D$11,A182,'09.08'!$E$4:$E$11)+SUMIF('09.08'!$F$4:$F$11,A182,'09.08'!$G$4:$G$11)+SUMIF('09.08'!$H$4:$H$11,A182,'09.08'!$I$4:$I$11)+SUMIF('09.08'!$J$4:$J$11,A182,'09.08'!$K$4:$K$11)+SUMIF('09.08'!$L$4:$L$11,A182,'09.08'!$M$4:$M$11)+SUMIF('09.08'!$N$4:$N$11,A182,'09.08'!$O$4:$O$11)</f>
        <v>0</v>
      </c>
      <c r="Q186" s="15">
        <f>SUMIF('10.08'!$B$4:$B$11,A182,'10.08'!$C$4:$C$11)+SUMIF('10.08'!$D$4:$D$11,A182,'10.08'!$E$4:$E$11)+SUMIF('10.08'!$F$4:$F$11,A182,'10.08'!$G$4:$G$11)+SUMIF('10.08'!$H$4:$H$11,A182,'10.08'!$I$4:$I$11)+SUMIF('10.08'!$J$4:$J$11,A182,'10.08'!$K$4:$K$11)+SUMIF('10.08'!$L$4:$L$11,A182,'10.08'!$M$4:$M$11)+SUMIF('10.08'!$N$4:$N$11,A182,'10.08'!$O$4:$O$11)</f>
        <v>0</v>
      </c>
      <c r="R186" s="16" t="str">
        <f t="shared" si="14"/>
        <v>#N/A</v>
      </c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</row>
    <row r="187">
      <c r="A187" s="8"/>
      <c r="B187" s="8"/>
      <c r="C187" s="8"/>
      <c r="D187" s="8"/>
      <c r="E187" s="8"/>
      <c r="F187" s="49"/>
      <c r="G187" s="49"/>
      <c r="H187" s="50"/>
      <c r="I187" s="14">
        <f>SUMIF('02.08'!$B$4:$B$11,A183,'02.08'!$C$4:$C$11)+SUMIF('02.08'!$D$4:$D$11,A183,'02.08'!$E$4:$E$11)+SUMIF('02.08'!$F$4:$F$11,A183,'02.08'!$G$4:$G$11)+SUMIF('02.08'!$H$4:$H$11,A183,'02.08'!$I$4:$I$11)+SUMIF('02.08'!$J$4:$J$11,A183,'02.08'!$K$4:$K$11)+SUMIF('02.08'!$L$4:$L$11,A183,'02.08'!$M$4:$M$11)+SUMIF('02.08'!$N$4:$N$11,A183,'02.08'!$O$4:$O$11)</f>
        <v>0</v>
      </c>
      <c r="J187" s="15">
        <f>SUMIF('03.08'!$B$4:$B$11,A183,'03.08'!$C$4:$C$11)+SUMIF('03.08'!$D$4:$D$11,A183,'03.08'!$E$4:$E$11)+SUMIF('03.08'!$F$4:$F$11,A183,'03.08'!$G$4:$G$11)+SUMIF('03.08'!$H$4:$H$11,A183,'03.08'!$I$4:$I$11)+SUMIF('03.08'!$J$4:$J$11,A183,'03.08'!$K$4:$K$11)+SUMIF('03.08'!$L$4:$L$11,A183,'03.08'!$M$4:$M$11)+SUMIF('03.08'!$N$4:$N$11,A183,'03.08'!$O$4:$O$11)</f>
        <v>0</v>
      </c>
      <c r="K187" s="15">
        <f>SUMIF('04.08'!$B$4:$B$11,A183,'04.08'!$C$4:$C$11)+SUMIF('04.08'!$D$4:$D$11,A183,'04.08'!$E$4:$E$11)+SUMIF('04.08'!$F$4:$F$11,A183,'04.08'!$G$4:$G$11)+SUMIF('04.08'!$H$4:$H$11,A183,'04.08'!$I$4:$I$11)+SUMIF('04.08'!$J$4:$J$11,A183,'04.08'!$K$4:$K$11)+SUMIF('04.08'!$L$4:$L$11,A183,'04.08'!$M$4:$M$11)+SUMIF('04.08'!$N$4:$N$11,A183,'04.08'!$O$4:$O$11)</f>
        <v>0</v>
      </c>
      <c r="L187" s="15">
        <f>SUMIF('05.08'!$B$4:$B$11,A183,'05.08'!$C$4:$C$11)+SUMIF('05.08'!$D$4:$D$11,A183,'05.08'!$E$4:$E$11)+SUMIF('05.08'!$F$4:$F$11,A183,'05.08'!$G$4:$G$11)+SUMIF('05.08'!$H$4:$H$11,A183,'05.08'!$I$4:$I$11)+SUMIF('05.08'!$J$4:$J$11,A183,'05.08'!$K$4:$K$11)+SUMIF('05.08'!$L$4:$L$11,A183,'05.08'!$M$4:$M$11)+SUMIF('05.08'!$N$4:$N$11,A183,'05.08'!$O$4:$O$11)</f>
        <v>0</v>
      </c>
      <c r="M187" s="15">
        <f>SUMIF('06.08'!$B$4:$B$11,A183,'06.08'!$C$4:$C$11)+SUMIF('06.08'!$D$4:$D$11,A183,'06.08'!$E$4:$E$11)+SUMIF('06.08'!$F$4:$F$11,A183,'06.08'!$G$4:$G$11)+SUMIF('06.08'!$H$4:$H$11,A183,'06.08'!$I$4:$I$11)+SUMIF('06.08'!$J$4:$J$11,A183,'06.08'!$K$4:$K$11)+SUMIF('06.08'!$L$4:$L$11,A183,'06.08'!$M$4:$M$11)+SUMIF('06.08'!$N$4:$N$11,A183,'06.08'!$O$4:$O$11)</f>
        <v>0</v>
      </c>
      <c r="N187" s="15">
        <f>SUMIF('07.08'!$B$4:$B$11,A183,'07.08'!$C$4:$C$11)+SUMIF('07.08'!$D$4:$D$11,A183,'07.08'!$E$4:$E$11)+SUMIF('07.08'!$F$4:$F$11,A183,'07.08'!$G$4:$G$11)+SUMIF('07.08'!$H$4:$H$11,A183,'07.08'!$I$4:$I$11)+SUMIF('07.08'!$J$4:$J$11,A183,'07.08'!$K$4:$K$11)+SUMIF('07.08'!$L$4:$L$11,A183,'07.08'!$M$4:$M$11)+SUMIF('07.08'!$N$4:$N$11,A183,'07.08'!$O$4:$O$11)</f>
        <v>0</v>
      </c>
      <c r="O187" s="15">
        <f>SUMIF('08.08'!$B$4:$B$11,A183,'08.08'!$C$4:$C$11)+SUMIF('08.08'!$D$4:$D$11,A183,'08.08'!$E$4:$E$11)+SUMIF('08.08'!$F$4:$F$11,A183,'08.08'!$G$4:$G$11)+SUMIF('08.08'!$H$4:$H$11,A183,'08.08'!$I$4:$I$11)+SUMIF('08.08'!$J$4:$J$11,A183,'08.08'!$K$4:$K$11)+SUMIF('08.08'!$L$4:$L$11,A183,'08.08'!$M$4:$M$11)+SUMIF('08.08'!$N$4:$N$11,A183,'08.08'!$O$4:$O$11)</f>
        <v>0</v>
      </c>
      <c r="P187" s="15">
        <f>SUMIF('09.08'!$B$4:$B$11,A183,'09.08'!$C$4:$C$11)+SUMIF('09.08'!$D$4:$D$11,A183,'09.08'!$E$4:$E$11)+SUMIF('09.08'!$F$4:$F$11,A183,'09.08'!$G$4:$G$11)+SUMIF('09.08'!$H$4:$H$11,A183,'09.08'!$I$4:$I$11)+SUMIF('09.08'!$J$4:$J$11,A183,'09.08'!$K$4:$K$11)+SUMIF('09.08'!$L$4:$L$11,A183,'09.08'!$M$4:$M$11)+SUMIF('09.08'!$N$4:$N$11,A183,'09.08'!$O$4:$O$11)</f>
        <v>0</v>
      </c>
      <c r="Q187" s="15">
        <f>SUMIF('10.08'!$B$4:$B$11,A183,'10.08'!$C$4:$C$11)+SUMIF('10.08'!$D$4:$D$11,A183,'10.08'!$E$4:$E$11)+SUMIF('10.08'!$F$4:$F$11,A183,'10.08'!$G$4:$G$11)+SUMIF('10.08'!$H$4:$H$11,A183,'10.08'!$I$4:$I$11)+SUMIF('10.08'!$J$4:$J$11,A183,'10.08'!$K$4:$K$11)+SUMIF('10.08'!$L$4:$L$11,A183,'10.08'!$M$4:$M$11)+SUMIF('10.08'!$N$4:$N$11,A183,'10.08'!$O$4:$O$11)</f>
        <v>0</v>
      </c>
      <c r="R187" s="16" t="str">
        <f t="shared" si="14"/>
        <v>#N/A</v>
      </c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</row>
    <row r="188">
      <c r="A188" s="8"/>
      <c r="B188" s="8"/>
      <c r="C188" s="8"/>
      <c r="D188" s="8"/>
      <c r="E188" s="8"/>
      <c r="F188" s="49"/>
      <c r="G188" s="49"/>
      <c r="H188" s="50"/>
      <c r="I188" s="37"/>
      <c r="J188" s="8"/>
      <c r="K188" s="8"/>
      <c r="L188" s="8"/>
      <c r="M188" s="8"/>
      <c r="N188" s="8"/>
      <c r="O188" s="8"/>
      <c r="P188" s="8"/>
      <c r="Q188" s="8"/>
      <c r="R188" s="3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</row>
    <row r="189">
      <c r="A189" s="8"/>
      <c r="B189" s="8"/>
      <c r="C189" s="8"/>
      <c r="D189" s="8"/>
      <c r="E189" s="8"/>
      <c r="F189" s="49"/>
      <c r="G189" s="49"/>
      <c r="H189" s="50"/>
      <c r="I189" s="37"/>
      <c r="J189" s="8"/>
      <c r="K189" s="8"/>
      <c r="L189" s="8"/>
      <c r="M189" s="8"/>
      <c r="N189" s="8"/>
      <c r="O189" s="8"/>
      <c r="P189" s="8"/>
      <c r="Q189" s="8"/>
      <c r="R189" s="3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</row>
    <row r="190">
      <c r="A190" s="8"/>
      <c r="B190" s="8"/>
      <c r="C190" s="8"/>
      <c r="D190" s="8"/>
      <c r="E190" s="8"/>
      <c r="F190" s="49"/>
      <c r="G190" s="49"/>
      <c r="H190" s="50"/>
      <c r="I190" s="37"/>
      <c r="J190" s="8"/>
      <c r="K190" s="8"/>
      <c r="L190" s="8"/>
      <c r="M190" s="8"/>
      <c r="N190" s="8"/>
      <c r="O190" s="8"/>
      <c r="P190" s="8"/>
      <c r="Q190" s="8"/>
      <c r="R190" s="3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</row>
    <row r="191">
      <c r="A191" s="8"/>
      <c r="B191" s="8"/>
      <c r="C191" s="8"/>
      <c r="D191" s="8"/>
      <c r="E191" s="8"/>
      <c r="F191" s="49"/>
      <c r="G191" s="49"/>
      <c r="H191" s="50"/>
      <c r="I191" s="37"/>
      <c r="J191" s="8"/>
      <c r="K191" s="8"/>
      <c r="L191" s="8"/>
      <c r="M191" s="8"/>
      <c r="N191" s="8"/>
      <c r="O191" s="8"/>
      <c r="P191" s="8"/>
      <c r="Q191" s="8"/>
      <c r="R191" s="3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</row>
    <row r="192">
      <c r="A192" s="8"/>
      <c r="B192" s="8"/>
      <c r="C192" s="8"/>
      <c r="D192" s="8"/>
      <c r="E192" s="8"/>
      <c r="F192" s="49"/>
      <c r="G192" s="49"/>
      <c r="H192" s="50"/>
      <c r="I192" s="37"/>
      <c r="J192" s="8"/>
      <c r="K192" s="8"/>
      <c r="L192" s="8"/>
      <c r="M192" s="8"/>
      <c r="N192" s="8"/>
      <c r="O192" s="8"/>
      <c r="P192" s="8"/>
      <c r="Q192" s="8"/>
      <c r="R192" s="3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</row>
    <row r="193">
      <c r="A193" s="8"/>
      <c r="B193" s="8"/>
      <c r="C193" s="8"/>
      <c r="D193" s="8"/>
      <c r="E193" s="8"/>
      <c r="F193" s="49"/>
      <c r="G193" s="49"/>
      <c r="H193" s="50"/>
      <c r="I193" s="37"/>
      <c r="J193" s="8"/>
      <c r="K193" s="8"/>
      <c r="L193" s="8"/>
      <c r="M193" s="8"/>
      <c r="N193" s="8"/>
      <c r="O193" s="8"/>
      <c r="P193" s="8"/>
      <c r="Q193" s="8"/>
      <c r="R193" s="3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</row>
    <row r="194">
      <c r="A194" s="8"/>
      <c r="B194" s="8"/>
      <c r="C194" s="8"/>
      <c r="D194" s="8"/>
      <c r="E194" s="8"/>
      <c r="F194" s="49"/>
      <c r="G194" s="49"/>
      <c r="H194" s="50"/>
      <c r="I194" s="37"/>
      <c r="J194" s="8"/>
      <c r="K194" s="8"/>
      <c r="L194" s="8"/>
      <c r="M194" s="8"/>
      <c r="N194" s="8"/>
      <c r="O194" s="8"/>
      <c r="P194" s="8"/>
      <c r="Q194" s="8"/>
      <c r="R194" s="3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</row>
    <row r="195">
      <c r="A195" s="8"/>
      <c r="B195" s="8"/>
      <c r="C195" s="8"/>
      <c r="D195" s="8"/>
      <c r="E195" s="8"/>
      <c r="F195" s="49"/>
      <c r="G195" s="49"/>
      <c r="H195" s="50"/>
      <c r="I195" s="37"/>
      <c r="J195" s="8"/>
      <c r="K195" s="8"/>
      <c r="L195" s="8"/>
      <c r="M195" s="8"/>
      <c r="N195" s="8"/>
      <c r="O195" s="8"/>
      <c r="P195" s="8"/>
      <c r="Q195" s="8"/>
      <c r="R195" s="3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</row>
    <row r="196">
      <c r="A196" s="8"/>
      <c r="B196" s="8"/>
      <c r="C196" s="8"/>
      <c r="D196" s="8"/>
      <c r="E196" s="8"/>
      <c r="F196" s="49"/>
      <c r="G196" s="49"/>
      <c r="H196" s="50"/>
      <c r="I196" s="37"/>
      <c r="J196" s="8"/>
      <c r="K196" s="8"/>
      <c r="L196" s="8"/>
      <c r="M196" s="8"/>
      <c r="N196" s="8"/>
      <c r="O196" s="8"/>
      <c r="P196" s="8"/>
      <c r="Q196" s="8"/>
      <c r="R196" s="3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</row>
    <row r="197">
      <c r="A197" s="8"/>
      <c r="B197" s="8"/>
      <c r="C197" s="8"/>
      <c r="D197" s="8"/>
      <c r="E197" s="8"/>
      <c r="F197" s="49"/>
      <c r="G197" s="49"/>
      <c r="H197" s="50"/>
      <c r="I197" s="37"/>
      <c r="J197" s="8"/>
      <c r="K197" s="8"/>
      <c r="L197" s="8"/>
      <c r="M197" s="8"/>
      <c r="N197" s="8"/>
      <c r="O197" s="8"/>
      <c r="P197" s="8"/>
      <c r="Q197" s="8"/>
      <c r="R197" s="3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</row>
    <row r="198">
      <c r="A198" s="8"/>
      <c r="B198" s="8"/>
      <c r="C198" s="8"/>
      <c r="D198" s="8"/>
      <c r="E198" s="8"/>
      <c r="F198" s="49"/>
      <c r="G198" s="49"/>
      <c r="H198" s="50"/>
      <c r="I198" s="37"/>
      <c r="J198" s="8"/>
      <c r="K198" s="8"/>
      <c r="L198" s="8"/>
      <c r="M198" s="8"/>
      <c r="N198" s="8"/>
      <c r="O198" s="8"/>
      <c r="P198" s="8"/>
      <c r="Q198" s="8"/>
      <c r="R198" s="3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</row>
    <row r="199">
      <c r="A199" s="8"/>
      <c r="B199" s="8"/>
      <c r="C199" s="8"/>
      <c r="D199" s="8"/>
      <c r="E199" s="8"/>
      <c r="F199" s="49"/>
      <c r="G199" s="49"/>
      <c r="H199" s="50"/>
      <c r="I199" s="37"/>
      <c r="J199" s="8"/>
      <c r="K199" s="8"/>
      <c r="L199" s="8"/>
      <c r="M199" s="8"/>
      <c r="N199" s="8"/>
      <c r="O199" s="8"/>
      <c r="P199" s="8"/>
      <c r="Q199" s="8"/>
      <c r="R199" s="3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</row>
    <row r="200">
      <c r="A200" s="8"/>
      <c r="B200" s="8"/>
      <c r="C200" s="8"/>
      <c r="D200" s="8"/>
      <c r="E200" s="8"/>
      <c r="F200" s="49"/>
      <c r="G200" s="49"/>
      <c r="H200" s="50"/>
      <c r="I200" s="37"/>
      <c r="J200" s="8"/>
      <c r="K200" s="8"/>
      <c r="L200" s="8"/>
      <c r="M200" s="8"/>
      <c r="N200" s="8"/>
      <c r="O200" s="8"/>
      <c r="P200" s="8"/>
      <c r="Q200" s="8"/>
      <c r="R200" s="3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</row>
    <row r="201">
      <c r="A201" s="8"/>
      <c r="B201" s="8"/>
      <c r="C201" s="8"/>
      <c r="D201" s="8"/>
      <c r="E201" s="8"/>
      <c r="F201" s="49"/>
      <c r="G201" s="49"/>
      <c r="H201" s="50"/>
      <c r="I201" s="37"/>
      <c r="J201" s="8"/>
      <c r="K201" s="8"/>
      <c r="L201" s="8"/>
      <c r="M201" s="8"/>
      <c r="N201" s="8"/>
      <c r="O201" s="8"/>
      <c r="P201" s="8"/>
      <c r="Q201" s="8"/>
      <c r="R201" s="3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</row>
    <row r="202">
      <c r="A202" s="8"/>
      <c r="B202" s="8"/>
      <c r="C202" s="8"/>
      <c r="D202" s="8"/>
      <c r="E202" s="8"/>
      <c r="F202" s="49"/>
      <c r="G202" s="49"/>
      <c r="H202" s="50"/>
      <c r="I202" s="37"/>
      <c r="J202" s="8"/>
      <c r="K202" s="8"/>
      <c r="L202" s="8"/>
      <c r="M202" s="8"/>
      <c r="N202" s="8"/>
      <c r="O202" s="8"/>
      <c r="P202" s="8"/>
      <c r="Q202" s="8"/>
      <c r="R202" s="3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</row>
    <row r="203">
      <c r="A203" s="8"/>
      <c r="B203" s="8"/>
      <c r="C203" s="8"/>
      <c r="D203" s="8"/>
      <c r="E203" s="8"/>
      <c r="F203" s="49"/>
      <c r="G203" s="49"/>
      <c r="H203" s="50"/>
      <c r="I203" s="37"/>
      <c r="J203" s="8"/>
      <c r="K203" s="8"/>
      <c r="L203" s="8"/>
      <c r="M203" s="8"/>
      <c r="N203" s="8"/>
      <c r="O203" s="8"/>
      <c r="P203" s="8"/>
      <c r="Q203" s="8"/>
      <c r="R203" s="3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</row>
    <row r="204">
      <c r="A204" s="8"/>
      <c r="B204" s="8"/>
      <c r="C204" s="8"/>
      <c r="D204" s="8"/>
      <c r="E204" s="8"/>
      <c r="F204" s="49"/>
      <c r="G204" s="49"/>
      <c r="H204" s="50"/>
      <c r="I204" s="37"/>
      <c r="J204" s="8"/>
      <c r="K204" s="8"/>
      <c r="L204" s="8"/>
      <c r="M204" s="8"/>
      <c r="N204" s="8"/>
      <c r="O204" s="8"/>
      <c r="P204" s="8"/>
      <c r="Q204" s="8"/>
      <c r="R204" s="3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</row>
    <row r="205">
      <c r="A205" s="8"/>
      <c r="B205" s="8"/>
      <c r="C205" s="8"/>
      <c r="D205" s="8"/>
      <c r="E205" s="8"/>
      <c r="F205" s="49"/>
      <c r="G205" s="49"/>
      <c r="H205" s="50"/>
      <c r="I205" s="37"/>
      <c r="J205" s="8"/>
      <c r="K205" s="8"/>
      <c r="L205" s="8"/>
      <c r="M205" s="8"/>
      <c r="N205" s="8"/>
      <c r="O205" s="8"/>
      <c r="P205" s="8"/>
      <c r="Q205" s="8"/>
      <c r="R205" s="3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</row>
    <row r="206">
      <c r="A206" s="8"/>
      <c r="B206" s="8"/>
      <c r="C206" s="8"/>
      <c r="D206" s="8"/>
      <c r="E206" s="8"/>
      <c r="F206" s="49"/>
      <c r="G206" s="49"/>
      <c r="H206" s="50"/>
      <c r="I206" s="37"/>
      <c r="J206" s="8"/>
      <c r="K206" s="8"/>
      <c r="L206" s="8"/>
      <c r="M206" s="8"/>
      <c r="N206" s="8"/>
      <c r="O206" s="8"/>
      <c r="P206" s="8"/>
      <c r="Q206" s="8"/>
      <c r="R206" s="3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</row>
    <row r="207">
      <c r="A207" s="8"/>
      <c r="B207" s="8"/>
      <c r="C207" s="8"/>
      <c r="D207" s="8"/>
      <c r="E207" s="8"/>
      <c r="F207" s="49"/>
      <c r="G207" s="49"/>
      <c r="H207" s="50"/>
      <c r="I207" s="37"/>
      <c r="J207" s="8"/>
      <c r="K207" s="8"/>
      <c r="L207" s="8"/>
      <c r="M207" s="8"/>
      <c r="N207" s="8"/>
      <c r="O207" s="8"/>
      <c r="P207" s="8"/>
      <c r="Q207" s="8"/>
      <c r="R207" s="3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</row>
    <row r="208">
      <c r="A208" s="8"/>
      <c r="B208" s="8"/>
      <c r="C208" s="8"/>
      <c r="D208" s="8"/>
      <c r="E208" s="8"/>
      <c r="F208" s="49"/>
      <c r="G208" s="49"/>
      <c r="H208" s="50"/>
      <c r="I208" s="37"/>
      <c r="J208" s="8"/>
      <c r="K208" s="8"/>
      <c r="L208" s="8"/>
      <c r="M208" s="8"/>
      <c r="N208" s="8"/>
      <c r="O208" s="8"/>
      <c r="P208" s="8"/>
      <c r="Q208" s="8"/>
      <c r="R208" s="3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</row>
    <row r="209">
      <c r="A209" s="8"/>
      <c r="B209" s="8"/>
      <c r="C209" s="8"/>
      <c r="D209" s="8"/>
      <c r="E209" s="8"/>
      <c r="F209" s="49"/>
      <c r="G209" s="49"/>
      <c r="H209" s="50"/>
      <c r="I209" s="37"/>
      <c r="J209" s="8"/>
      <c r="K209" s="8"/>
      <c r="L209" s="8"/>
      <c r="M209" s="8"/>
      <c r="N209" s="8"/>
      <c r="O209" s="8"/>
      <c r="P209" s="8"/>
      <c r="Q209" s="8"/>
      <c r="R209" s="3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</row>
    <row r="210">
      <c r="A210" s="8"/>
      <c r="B210" s="8"/>
      <c r="C210" s="8"/>
      <c r="D210" s="8"/>
      <c r="E210" s="8"/>
      <c r="F210" s="49"/>
      <c r="G210" s="49"/>
      <c r="H210" s="50"/>
      <c r="I210" s="37"/>
      <c r="J210" s="8"/>
      <c r="K210" s="8"/>
      <c r="L210" s="8"/>
      <c r="M210" s="8"/>
      <c r="N210" s="8"/>
      <c r="O210" s="8"/>
      <c r="P210" s="8"/>
      <c r="Q210" s="8"/>
      <c r="R210" s="3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</row>
    <row r="211">
      <c r="A211" s="8"/>
      <c r="B211" s="8"/>
      <c r="C211" s="8"/>
      <c r="D211" s="8"/>
      <c r="E211" s="8"/>
      <c r="F211" s="49"/>
      <c r="G211" s="49"/>
      <c r="H211" s="50"/>
      <c r="I211" s="37"/>
      <c r="J211" s="8"/>
      <c r="K211" s="8"/>
      <c r="L211" s="8"/>
      <c r="M211" s="8"/>
      <c r="N211" s="8"/>
      <c r="O211" s="8"/>
      <c r="P211" s="8"/>
      <c r="Q211" s="8"/>
      <c r="R211" s="3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</row>
    <row r="212">
      <c r="A212" s="8"/>
      <c r="B212" s="8"/>
      <c r="C212" s="8"/>
      <c r="D212" s="8"/>
      <c r="E212" s="8"/>
      <c r="F212" s="49"/>
      <c r="G212" s="49"/>
      <c r="H212" s="50"/>
      <c r="I212" s="37"/>
      <c r="J212" s="8"/>
      <c r="K212" s="8"/>
      <c r="L212" s="8"/>
      <c r="M212" s="8"/>
      <c r="N212" s="8"/>
      <c r="O212" s="8"/>
      <c r="P212" s="8"/>
      <c r="Q212" s="8"/>
      <c r="R212" s="3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</row>
    <row r="213">
      <c r="A213" s="8"/>
      <c r="B213" s="8"/>
      <c r="C213" s="8"/>
      <c r="D213" s="8"/>
      <c r="E213" s="8"/>
      <c r="F213" s="49"/>
      <c r="G213" s="49"/>
      <c r="H213" s="50"/>
      <c r="I213" s="37"/>
      <c r="J213" s="8"/>
      <c r="K213" s="8"/>
      <c r="L213" s="8"/>
      <c r="M213" s="8"/>
      <c r="N213" s="8"/>
      <c r="O213" s="8"/>
      <c r="P213" s="8"/>
      <c r="Q213" s="8"/>
      <c r="R213" s="3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</row>
    <row r="214">
      <c r="A214" s="8"/>
      <c r="B214" s="8"/>
      <c r="C214" s="8"/>
      <c r="D214" s="8"/>
      <c r="E214" s="8"/>
      <c r="F214" s="49"/>
      <c r="G214" s="49"/>
      <c r="H214" s="50"/>
      <c r="I214" s="37"/>
      <c r="J214" s="8"/>
      <c r="K214" s="8"/>
      <c r="L214" s="8"/>
      <c r="M214" s="8"/>
      <c r="N214" s="8"/>
      <c r="O214" s="8"/>
      <c r="P214" s="8"/>
      <c r="Q214" s="8"/>
      <c r="R214" s="3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</row>
    <row r="215">
      <c r="A215" s="8"/>
      <c r="B215" s="8"/>
      <c r="C215" s="8"/>
      <c r="D215" s="8"/>
      <c r="E215" s="8"/>
      <c r="F215" s="49"/>
      <c r="G215" s="49"/>
      <c r="H215" s="50"/>
      <c r="I215" s="37"/>
      <c r="J215" s="8"/>
      <c r="K215" s="8"/>
      <c r="L215" s="8"/>
      <c r="M215" s="8"/>
      <c r="N215" s="8"/>
      <c r="O215" s="8"/>
      <c r="P215" s="8"/>
      <c r="Q215" s="8"/>
      <c r="R215" s="3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</row>
    <row r="216">
      <c r="A216" s="8"/>
      <c r="B216" s="8"/>
      <c r="C216" s="8"/>
      <c r="D216" s="8"/>
      <c r="E216" s="8"/>
      <c r="F216" s="49"/>
      <c r="G216" s="49"/>
      <c r="H216" s="50"/>
      <c r="I216" s="37"/>
      <c r="J216" s="8"/>
      <c r="K216" s="8"/>
      <c r="L216" s="8"/>
      <c r="M216" s="8"/>
      <c r="N216" s="8"/>
      <c r="O216" s="8"/>
      <c r="P216" s="8"/>
      <c r="Q216" s="8"/>
      <c r="R216" s="3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</row>
    <row r="217">
      <c r="A217" s="8"/>
      <c r="B217" s="8"/>
      <c r="C217" s="8"/>
      <c r="D217" s="8"/>
      <c r="E217" s="8"/>
      <c r="F217" s="49"/>
      <c r="G217" s="49"/>
      <c r="H217" s="50"/>
      <c r="I217" s="37"/>
      <c r="J217" s="8"/>
      <c r="K217" s="8"/>
      <c r="L217" s="8"/>
      <c r="M217" s="8"/>
      <c r="N217" s="8"/>
      <c r="O217" s="8"/>
      <c r="P217" s="8"/>
      <c r="Q217" s="8"/>
      <c r="R217" s="3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</row>
    <row r="218">
      <c r="A218" s="8"/>
      <c r="B218" s="8"/>
      <c r="C218" s="8"/>
      <c r="D218" s="8"/>
      <c r="E218" s="8"/>
      <c r="F218" s="49"/>
      <c r="G218" s="49"/>
      <c r="H218" s="50"/>
      <c r="I218" s="37"/>
      <c r="J218" s="8"/>
      <c r="K218" s="8"/>
      <c r="L218" s="8"/>
      <c r="M218" s="8"/>
      <c r="N218" s="8"/>
      <c r="O218" s="8"/>
      <c r="P218" s="8"/>
      <c r="Q218" s="8"/>
      <c r="R218" s="3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</row>
    <row r="219">
      <c r="A219" s="8"/>
      <c r="B219" s="8"/>
      <c r="C219" s="8"/>
      <c r="D219" s="8"/>
      <c r="E219" s="8"/>
      <c r="F219" s="49"/>
      <c r="G219" s="49"/>
      <c r="H219" s="50"/>
      <c r="I219" s="37"/>
      <c r="J219" s="8"/>
      <c r="K219" s="8"/>
      <c r="L219" s="8"/>
      <c r="M219" s="8"/>
      <c r="N219" s="8"/>
      <c r="O219" s="8"/>
      <c r="P219" s="8"/>
      <c r="Q219" s="8"/>
      <c r="R219" s="3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</row>
    <row r="220">
      <c r="A220" s="8"/>
      <c r="B220" s="8"/>
      <c r="C220" s="8"/>
      <c r="D220" s="8"/>
      <c r="E220" s="8"/>
      <c r="F220" s="49"/>
      <c r="G220" s="49"/>
      <c r="H220" s="50"/>
      <c r="I220" s="37"/>
      <c r="J220" s="8"/>
      <c r="K220" s="8"/>
      <c r="L220" s="8"/>
      <c r="M220" s="8"/>
      <c r="N220" s="8"/>
      <c r="O220" s="8"/>
      <c r="P220" s="8"/>
      <c r="Q220" s="8"/>
      <c r="R220" s="3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</row>
    <row r="221">
      <c r="A221" s="8"/>
      <c r="B221" s="8"/>
      <c r="C221" s="8"/>
      <c r="D221" s="8"/>
      <c r="E221" s="8"/>
      <c r="F221" s="49"/>
      <c r="G221" s="49"/>
      <c r="H221" s="50"/>
      <c r="I221" s="37"/>
      <c r="J221" s="8"/>
      <c r="K221" s="8"/>
      <c r="L221" s="8"/>
      <c r="M221" s="8"/>
      <c r="N221" s="8"/>
      <c r="O221" s="8"/>
      <c r="P221" s="8"/>
      <c r="Q221" s="8"/>
      <c r="R221" s="3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</row>
    <row r="222">
      <c r="A222" s="8"/>
      <c r="B222" s="8"/>
      <c r="C222" s="8"/>
      <c r="D222" s="8"/>
      <c r="E222" s="8"/>
      <c r="F222" s="49"/>
      <c r="G222" s="49"/>
      <c r="H222" s="50"/>
      <c r="I222" s="37"/>
      <c r="J222" s="8"/>
      <c r="K222" s="8"/>
      <c r="L222" s="8"/>
      <c r="M222" s="8"/>
      <c r="N222" s="8"/>
      <c r="O222" s="8"/>
      <c r="P222" s="8"/>
      <c r="Q222" s="8"/>
      <c r="R222" s="3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</row>
    <row r="223">
      <c r="A223" s="8"/>
      <c r="B223" s="8"/>
      <c r="C223" s="8"/>
      <c r="D223" s="8"/>
      <c r="E223" s="8"/>
      <c r="F223" s="49"/>
      <c r="G223" s="49"/>
      <c r="H223" s="50"/>
      <c r="I223" s="37"/>
      <c r="J223" s="8"/>
      <c r="K223" s="8"/>
      <c r="L223" s="8"/>
      <c r="M223" s="8"/>
      <c r="N223" s="8"/>
      <c r="O223" s="8"/>
      <c r="P223" s="8"/>
      <c r="Q223" s="8"/>
      <c r="R223" s="3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</row>
    <row r="224">
      <c r="A224" s="8"/>
      <c r="B224" s="8"/>
      <c r="C224" s="8"/>
      <c r="D224" s="8"/>
      <c r="E224" s="8"/>
      <c r="F224" s="49"/>
      <c r="G224" s="49"/>
      <c r="H224" s="50"/>
      <c r="I224" s="37"/>
      <c r="J224" s="8"/>
      <c r="K224" s="8"/>
      <c r="L224" s="8"/>
      <c r="M224" s="8"/>
      <c r="N224" s="8"/>
      <c r="O224" s="8"/>
      <c r="P224" s="8"/>
      <c r="Q224" s="8"/>
      <c r="R224" s="3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</row>
    <row r="225">
      <c r="A225" s="8"/>
      <c r="B225" s="8"/>
      <c r="C225" s="8"/>
      <c r="D225" s="8"/>
      <c r="E225" s="8"/>
      <c r="F225" s="49"/>
      <c r="G225" s="49"/>
      <c r="H225" s="50"/>
      <c r="I225" s="37"/>
      <c r="J225" s="8"/>
      <c r="K225" s="8"/>
      <c r="L225" s="8"/>
      <c r="M225" s="8"/>
      <c r="N225" s="8"/>
      <c r="O225" s="8"/>
      <c r="P225" s="8"/>
      <c r="Q225" s="8"/>
      <c r="R225" s="3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</row>
    <row r="226">
      <c r="A226" s="8"/>
      <c r="B226" s="8"/>
      <c r="C226" s="8"/>
      <c r="D226" s="8"/>
      <c r="E226" s="8"/>
      <c r="F226" s="49"/>
      <c r="G226" s="49"/>
      <c r="H226" s="50"/>
      <c r="I226" s="37"/>
      <c r="J226" s="8"/>
      <c r="K226" s="8"/>
      <c r="L226" s="8"/>
      <c r="M226" s="8"/>
      <c r="N226" s="8"/>
      <c r="O226" s="8"/>
      <c r="P226" s="8"/>
      <c r="Q226" s="8"/>
      <c r="R226" s="3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</row>
    <row r="227">
      <c r="A227" s="8"/>
      <c r="B227" s="8"/>
      <c r="C227" s="8"/>
      <c r="D227" s="8"/>
      <c r="E227" s="8"/>
      <c r="F227" s="49"/>
      <c r="G227" s="49"/>
      <c r="H227" s="50"/>
      <c r="I227" s="37"/>
      <c r="J227" s="8"/>
      <c r="K227" s="8"/>
      <c r="L227" s="8"/>
      <c r="M227" s="8"/>
      <c r="N227" s="8"/>
      <c r="O227" s="8"/>
      <c r="P227" s="8"/>
      <c r="Q227" s="8"/>
      <c r="R227" s="3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</row>
    <row r="228">
      <c r="A228" s="8"/>
      <c r="B228" s="8"/>
      <c r="C228" s="8"/>
      <c r="D228" s="8"/>
      <c r="E228" s="8"/>
      <c r="F228" s="49"/>
      <c r="G228" s="49"/>
      <c r="H228" s="50"/>
      <c r="I228" s="37"/>
      <c r="J228" s="8"/>
      <c r="K228" s="8"/>
      <c r="L228" s="8"/>
      <c r="M228" s="8"/>
      <c r="N228" s="8"/>
      <c r="O228" s="8"/>
      <c r="P228" s="8"/>
      <c r="Q228" s="8"/>
      <c r="R228" s="3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</row>
    <row r="229">
      <c r="A229" s="8"/>
      <c r="B229" s="8"/>
      <c r="C229" s="8"/>
      <c r="D229" s="8"/>
      <c r="E229" s="8"/>
      <c r="F229" s="49"/>
      <c r="G229" s="49"/>
      <c r="H229" s="50"/>
      <c r="I229" s="37"/>
      <c r="J229" s="8"/>
      <c r="K229" s="8"/>
      <c r="L229" s="8"/>
      <c r="M229" s="8"/>
      <c r="N229" s="8"/>
      <c r="O229" s="8"/>
      <c r="P229" s="8"/>
      <c r="Q229" s="8"/>
      <c r="R229" s="3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</row>
    <row r="230">
      <c r="A230" s="8"/>
      <c r="B230" s="8"/>
      <c r="C230" s="8"/>
      <c r="D230" s="8"/>
      <c r="E230" s="8"/>
      <c r="F230" s="49"/>
      <c r="G230" s="49"/>
      <c r="H230" s="50"/>
      <c r="I230" s="37"/>
      <c r="J230" s="8"/>
      <c r="K230" s="8"/>
      <c r="L230" s="8"/>
      <c r="M230" s="8"/>
      <c r="N230" s="8"/>
      <c r="O230" s="8"/>
      <c r="P230" s="8"/>
      <c r="Q230" s="8"/>
      <c r="R230" s="3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</row>
    <row r="231">
      <c r="A231" s="8"/>
      <c r="B231" s="8"/>
      <c r="C231" s="8"/>
      <c r="D231" s="8"/>
      <c r="E231" s="8"/>
      <c r="F231" s="49"/>
      <c r="G231" s="49"/>
      <c r="H231" s="50"/>
      <c r="I231" s="37"/>
      <c r="J231" s="8"/>
      <c r="K231" s="8"/>
      <c r="L231" s="8"/>
      <c r="M231" s="8"/>
      <c r="N231" s="8"/>
      <c r="O231" s="8"/>
      <c r="P231" s="8"/>
      <c r="Q231" s="8"/>
      <c r="R231" s="3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</row>
    <row r="232">
      <c r="A232" s="8"/>
      <c r="B232" s="8"/>
      <c r="C232" s="8"/>
      <c r="D232" s="8"/>
      <c r="E232" s="8"/>
      <c r="F232" s="49"/>
      <c r="G232" s="49"/>
      <c r="H232" s="50"/>
      <c r="I232" s="37"/>
      <c r="J232" s="8"/>
      <c r="K232" s="8"/>
      <c r="L232" s="8"/>
      <c r="M232" s="8"/>
      <c r="N232" s="8"/>
      <c r="O232" s="8"/>
      <c r="P232" s="8"/>
      <c r="Q232" s="8"/>
      <c r="R232" s="3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</row>
    <row r="233">
      <c r="A233" s="8"/>
      <c r="B233" s="8"/>
      <c r="C233" s="8"/>
      <c r="D233" s="8"/>
      <c r="E233" s="8"/>
      <c r="F233" s="49"/>
      <c r="G233" s="49"/>
      <c r="H233" s="50"/>
      <c r="I233" s="37"/>
      <c r="J233" s="8"/>
      <c r="K233" s="8"/>
      <c r="L233" s="8"/>
      <c r="M233" s="8"/>
      <c r="N233" s="8"/>
      <c r="O233" s="8"/>
      <c r="P233" s="8"/>
      <c r="Q233" s="8"/>
      <c r="R233" s="3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</row>
    <row r="234">
      <c r="A234" s="8"/>
      <c r="B234" s="8"/>
      <c r="C234" s="8"/>
      <c r="D234" s="8"/>
      <c r="E234" s="8"/>
      <c r="F234" s="49"/>
      <c r="G234" s="49"/>
      <c r="H234" s="50"/>
      <c r="I234" s="37"/>
      <c r="J234" s="8"/>
      <c r="K234" s="8"/>
      <c r="L234" s="8"/>
      <c r="M234" s="8"/>
      <c r="N234" s="8"/>
      <c r="O234" s="8"/>
      <c r="P234" s="8"/>
      <c r="Q234" s="8"/>
      <c r="R234" s="3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</row>
    <row r="235">
      <c r="A235" s="8"/>
      <c r="B235" s="8"/>
      <c r="C235" s="8"/>
      <c r="D235" s="8"/>
      <c r="E235" s="8"/>
      <c r="F235" s="49"/>
      <c r="G235" s="49"/>
      <c r="H235" s="50"/>
      <c r="I235" s="37"/>
      <c r="J235" s="8"/>
      <c r="K235" s="8"/>
      <c r="L235" s="8"/>
      <c r="M235" s="8"/>
      <c r="N235" s="8"/>
      <c r="O235" s="8"/>
      <c r="P235" s="8"/>
      <c r="Q235" s="8"/>
      <c r="R235" s="3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</row>
    <row r="236">
      <c r="A236" s="8"/>
      <c r="B236" s="8"/>
      <c r="C236" s="8"/>
      <c r="D236" s="8"/>
      <c r="E236" s="8"/>
      <c r="F236" s="49"/>
      <c r="G236" s="49"/>
      <c r="H236" s="50"/>
      <c r="I236" s="37"/>
      <c r="J236" s="8"/>
      <c r="K236" s="8"/>
      <c r="L236" s="8"/>
      <c r="M236" s="8"/>
      <c r="N236" s="8"/>
      <c r="O236" s="8"/>
      <c r="P236" s="8"/>
      <c r="Q236" s="8"/>
      <c r="R236" s="3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</row>
    <row r="237">
      <c r="A237" s="8"/>
      <c r="B237" s="8"/>
      <c r="C237" s="8"/>
      <c r="D237" s="8"/>
      <c r="E237" s="8"/>
      <c r="F237" s="49"/>
      <c r="G237" s="49"/>
      <c r="H237" s="50"/>
      <c r="I237" s="37"/>
      <c r="J237" s="8"/>
      <c r="K237" s="8"/>
      <c r="L237" s="8"/>
      <c r="M237" s="8"/>
      <c r="N237" s="8"/>
      <c r="O237" s="8"/>
      <c r="P237" s="8"/>
      <c r="Q237" s="8"/>
      <c r="R237" s="3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</row>
    <row r="238">
      <c r="A238" s="8"/>
      <c r="B238" s="8"/>
      <c r="C238" s="8"/>
      <c r="D238" s="8"/>
      <c r="E238" s="8"/>
      <c r="F238" s="49"/>
      <c r="G238" s="49"/>
      <c r="H238" s="50"/>
      <c r="I238" s="37"/>
      <c r="J238" s="8"/>
      <c r="K238" s="8"/>
      <c r="L238" s="8"/>
      <c r="M238" s="8"/>
      <c r="N238" s="8"/>
      <c r="O238" s="8"/>
      <c r="P238" s="8"/>
      <c r="Q238" s="8"/>
      <c r="R238" s="3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</row>
    <row r="239">
      <c r="A239" s="8"/>
      <c r="B239" s="8"/>
      <c r="C239" s="8"/>
      <c r="D239" s="8"/>
      <c r="E239" s="8"/>
      <c r="F239" s="49"/>
      <c r="G239" s="49"/>
      <c r="H239" s="50"/>
      <c r="I239" s="37"/>
      <c r="J239" s="8"/>
      <c r="K239" s="8"/>
      <c r="L239" s="8"/>
      <c r="M239" s="8"/>
      <c r="N239" s="8"/>
      <c r="O239" s="8"/>
      <c r="P239" s="8"/>
      <c r="Q239" s="8"/>
      <c r="R239" s="3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</row>
    <row r="240">
      <c r="A240" s="8"/>
      <c r="B240" s="8"/>
      <c r="C240" s="8"/>
      <c r="D240" s="8"/>
      <c r="E240" s="8"/>
      <c r="F240" s="49"/>
      <c r="G240" s="49"/>
      <c r="H240" s="50"/>
      <c r="I240" s="37"/>
      <c r="J240" s="8"/>
      <c r="K240" s="8"/>
      <c r="L240" s="8"/>
      <c r="M240" s="8"/>
      <c r="N240" s="8"/>
      <c r="O240" s="8"/>
      <c r="P240" s="8"/>
      <c r="Q240" s="8"/>
      <c r="R240" s="3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</row>
    <row r="241">
      <c r="A241" s="8"/>
      <c r="B241" s="8"/>
      <c r="C241" s="8"/>
      <c r="D241" s="8"/>
      <c r="E241" s="8"/>
      <c r="F241" s="49"/>
      <c r="G241" s="49"/>
      <c r="H241" s="50"/>
      <c r="I241" s="37"/>
      <c r="J241" s="8"/>
      <c r="K241" s="8"/>
      <c r="L241" s="8"/>
      <c r="M241" s="8"/>
      <c r="N241" s="8"/>
      <c r="O241" s="8"/>
      <c r="P241" s="8"/>
      <c r="Q241" s="8"/>
      <c r="R241" s="3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</row>
    <row r="242">
      <c r="A242" s="8"/>
      <c r="B242" s="8"/>
      <c r="C242" s="8"/>
      <c r="D242" s="8"/>
      <c r="E242" s="8"/>
      <c r="F242" s="49"/>
      <c r="G242" s="49"/>
      <c r="H242" s="50"/>
      <c r="I242" s="37"/>
      <c r="J242" s="8"/>
      <c r="K242" s="8"/>
      <c r="L242" s="8"/>
      <c r="M242" s="8"/>
      <c r="N242" s="8"/>
      <c r="O242" s="8"/>
      <c r="P242" s="8"/>
      <c r="Q242" s="8"/>
      <c r="R242" s="3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</row>
    <row r="243">
      <c r="A243" s="8"/>
      <c r="B243" s="8"/>
      <c r="C243" s="8"/>
      <c r="D243" s="8"/>
      <c r="E243" s="8"/>
      <c r="F243" s="49"/>
      <c r="G243" s="49"/>
      <c r="H243" s="50"/>
      <c r="I243" s="37"/>
      <c r="J243" s="8"/>
      <c r="K243" s="8"/>
      <c r="L243" s="8"/>
      <c r="M243" s="8"/>
      <c r="N243" s="8"/>
      <c r="O243" s="8"/>
      <c r="P243" s="8"/>
      <c r="Q243" s="8"/>
      <c r="R243" s="3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</row>
    <row r="244">
      <c r="A244" s="8"/>
      <c r="B244" s="8"/>
      <c r="C244" s="8"/>
      <c r="D244" s="8"/>
      <c r="E244" s="8"/>
      <c r="F244" s="49"/>
      <c r="G244" s="49"/>
      <c r="H244" s="50"/>
      <c r="I244" s="37"/>
      <c r="J244" s="8"/>
      <c r="K244" s="8"/>
      <c r="L244" s="8"/>
      <c r="M244" s="8"/>
      <c r="N244" s="8"/>
      <c r="O244" s="8"/>
      <c r="P244" s="8"/>
      <c r="Q244" s="8"/>
      <c r="R244" s="3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</row>
    <row r="245">
      <c r="A245" s="8"/>
      <c r="B245" s="8"/>
      <c r="C245" s="8"/>
      <c r="D245" s="8"/>
      <c r="E245" s="8"/>
      <c r="F245" s="49"/>
      <c r="G245" s="49"/>
      <c r="H245" s="50"/>
      <c r="I245" s="37"/>
      <c r="J245" s="8"/>
      <c r="K245" s="8"/>
      <c r="L245" s="8"/>
      <c r="M245" s="8"/>
      <c r="N245" s="8"/>
      <c r="O245" s="8"/>
      <c r="P245" s="8"/>
      <c r="Q245" s="8"/>
      <c r="R245" s="3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</row>
    <row r="246">
      <c r="A246" s="8"/>
      <c r="B246" s="8"/>
      <c r="C246" s="8"/>
      <c r="D246" s="8"/>
      <c r="E246" s="8"/>
      <c r="F246" s="49"/>
      <c r="G246" s="49"/>
      <c r="H246" s="50"/>
      <c r="I246" s="37"/>
      <c r="J246" s="8"/>
      <c r="K246" s="8"/>
      <c r="L246" s="8"/>
      <c r="M246" s="8"/>
      <c r="N246" s="8"/>
      <c r="O246" s="8"/>
      <c r="P246" s="8"/>
      <c r="Q246" s="8"/>
      <c r="R246" s="3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</row>
    <row r="247">
      <c r="A247" s="8"/>
      <c r="B247" s="8"/>
      <c r="C247" s="8"/>
      <c r="D247" s="8"/>
      <c r="E247" s="8"/>
      <c r="F247" s="49"/>
      <c r="G247" s="49"/>
      <c r="H247" s="50"/>
      <c r="I247" s="37"/>
      <c r="J247" s="8"/>
      <c r="K247" s="8"/>
      <c r="L247" s="8"/>
      <c r="M247" s="8"/>
      <c r="N247" s="8"/>
      <c r="O247" s="8"/>
      <c r="P247" s="8"/>
      <c r="Q247" s="8"/>
      <c r="R247" s="3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</row>
    <row r="248">
      <c r="A248" s="8"/>
      <c r="B248" s="8"/>
      <c r="C248" s="8"/>
      <c r="D248" s="8"/>
      <c r="E248" s="8"/>
      <c r="F248" s="49"/>
      <c r="G248" s="49"/>
      <c r="H248" s="50"/>
      <c r="I248" s="37"/>
      <c r="J248" s="8"/>
      <c r="K248" s="8"/>
      <c r="L248" s="8"/>
      <c r="M248" s="8"/>
      <c r="N248" s="8"/>
      <c r="O248" s="8"/>
      <c r="P248" s="8"/>
      <c r="Q248" s="8"/>
      <c r="R248" s="3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</row>
    <row r="249">
      <c r="A249" s="8"/>
      <c r="B249" s="8"/>
      <c r="C249" s="8"/>
      <c r="D249" s="8"/>
      <c r="E249" s="8"/>
      <c r="F249" s="49"/>
      <c r="G249" s="49"/>
      <c r="H249" s="50"/>
      <c r="I249" s="37"/>
      <c r="J249" s="8"/>
      <c r="K249" s="8"/>
      <c r="L249" s="8"/>
      <c r="M249" s="8"/>
      <c r="N249" s="8"/>
      <c r="O249" s="8"/>
      <c r="P249" s="8"/>
      <c r="Q249" s="8"/>
      <c r="R249" s="3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</row>
    <row r="250">
      <c r="A250" s="8"/>
      <c r="B250" s="8"/>
      <c r="C250" s="8"/>
      <c r="D250" s="8"/>
      <c r="E250" s="8"/>
      <c r="F250" s="49"/>
      <c r="G250" s="49"/>
      <c r="H250" s="50"/>
      <c r="I250" s="37"/>
      <c r="J250" s="8"/>
      <c r="K250" s="8"/>
      <c r="L250" s="8"/>
      <c r="M250" s="8"/>
      <c r="N250" s="8"/>
      <c r="O250" s="8"/>
      <c r="P250" s="8"/>
      <c r="Q250" s="8"/>
      <c r="R250" s="3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</row>
    <row r="251">
      <c r="A251" s="8"/>
      <c r="B251" s="8"/>
      <c r="C251" s="8"/>
      <c r="D251" s="8"/>
      <c r="E251" s="8"/>
      <c r="F251" s="49"/>
      <c r="G251" s="49"/>
      <c r="H251" s="50"/>
      <c r="I251" s="37"/>
      <c r="J251" s="8"/>
      <c r="K251" s="8"/>
      <c r="L251" s="8"/>
      <c r="M251" s="8"/>
      <c r="N251" s="8"/>
      <c r="O251" s="8"/>
      <c r="P251" s="8"/>
      <c r="Q251" s="8"/>
      <c r="R251" s="3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</row>
    <row r="252">
      <c r="A252" s="8"/>
      <c r="B252" s="8"/>
      <c r="C252" s="8"/>
      <c r="D252" s="8"/>
      <c r="E252" s="8"/>
      <c r="F252" s="49"/>
      <c r="G252" s="49"/>
      <c r="H252" s="50"/>
      <c r="I252" s="37"/>
      <c r="J252" s="8"/>
      <c r="K252" s="8"/>
      <c r="L252" s="8"/>
      <c r="M252" s="8"/>
      <c r="N252" s="8"/>
      <c r="O252" s="8"/>
      <c r="P252" s="8"/>
      <c r="Q252" s="8"/>
      <c r="R252" s="3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</row>
    <row r="253">
      <c r="A253" s="8"/>
      <c r="B253" s="8"/>
      <c r="C253" s="8"/>
      <c r="D253" s="8"/>
      <c r="E253" s="8"/>
      <c r="F253" s="49"/>
      <c r="G253" s="49"/>
      <c r="H253" s="50"/>
      <c r="I253" s="37"/>
      <c r="J253" s="8"/>
      <c r="K253" s="8"/>
      <c r="L253" s="8"/>
      <c r="M253" s="8"/>
      <c r="N253" s="8"/>
      <c r="O253" s="8"/>
      <c r="P253" s="8"/>
      <c r="Q253" s="8"/>
      <c r="R253" s="3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</row>
    <row r="254">
      <c r="A254" s="8"/>
      <c r="B254" s="8"/>
      <c r="C254" s="8"/>
      <c r="D254" s="8"/>
      <c r="E254" s="8"/>
      <c r="F254" s="49"/>
      <c r="G254" s="49"/>
      <c r="H254" s="50"/>
      <c r="I254" s="37"/>
      <c r="J254" s="8"/>
      <c r="K254" s="8"/>
      <c r="L254" s="8"/>
      <c r="M254" s="8"/>
      <c r="N254" s="8"/>
      <c r="O254" s="8"/>
      <c r="P254" s="8"/>
      <c r="Q254" s="8"/>
      <c r="R254" s="3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</row>
    <row r="255">
      <c r="A255" s="8"/>
      <c r="B255" s="8"/>
      <c r="C255" s="8"/>
      <c r="D255" s="8"/>
      <c r="E255" s="8"/>
      <c r="F255" s="49"/>
      <c r="G255" s="49"/>
      <c r="H255" s="50"/>
      <c r="I255" s="37"/>
      <c r="J255" s="8"/>
      <c r="K255" s="8"/>
      <c r="L255" s="8"/>
      <c r="M255" s="8"/>
      <c r="N255" s="8"/>
      <c r="O255" s="8"/>
      <c r="P255" s="8"/>
      <c r="Q255" s="8"/>
      <c r="R255" s="3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</row>
    <row r="256">
      <c r="A256" s="8"/>
      <c r="B256" s="8"/>
      <c r="C256" s="8"/>
      <c r="D256" s="8"/>
      <c r="E256" s="8"/>
      <c r="F256" s="49"/>
      <c r="G256" s="49"/>
      <c r="H256" s="50"/>
      <c r="I256" s="37"/>
      <c r="J256" s="8"/>
      <c r="K256" s="8"/>
      <c r="L256" s="8"/>
      <c r="M256" s="8"/>
      <c r="N256" s="8"/>
      <c r="O256" s="8"/>
      <c r="P256" s="8"/>
      <c r="Q256" s="8"/>
      <c r="R256" s="3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</row>
    <row r="257">
      <c r="A257" s="8"/>
      <c r="B257" s="8"/>
      <c r="C257" s="8"/>
      <c r="D257" s="8"/>
      <c r="E257" s="8"/>
      <c r="F257" s="49"/>
      <c r="G257" s="49"/>
      <c r="H257" s="50"/>
      <c r="I257" s="37"/>
      <c r="J257" s="8"/>
      <c r="K257" s="8"/>
      <c r="L257" s="8"/>
      <c r="M257" s="8"/>
      <c r="N257" s="8"/>
      <c r="O257" s="8"/>
      <c r="P257" s="8"/>
      <c r="Q257" s="8"/>
      <c r="R257" s="3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</row>
    <row r="258">
      <c r="A258" s="8"/>
      <c r="B258" s="8"/>
      <c r="C258" s="8"/>
      <c r="D258" s="8"/>
      <c r="E258" s="8"/>
      <c r="F258" s="49"/>
      <c r="G258" s="49"/>
      <c r="H258" s="50"/>
      <c r="I258" s="37"/>
      <c r="J258" s="8"/>
      <c r="K258" s="8"/>
      <c r="L258" s="8"/>
      <c r="M258" s="8"/>
      <c r="N258" s="8"/>
      <c r="O258" s="8"/>
      <c r="P258" s="8"/>
      <c r="Q258" s="8"/>
      <c r="R258" s="3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</row>
    <row r="259">
      <c r="A259" s="8"/>
      <c r="B259" s="8"/>
      <c r="C259" s="8"/>
      <c r="D259" s="8"/>
      <c r="E259" s="8"/>
      <c r="F259" s="49"/>
      <c r="G259" s="49"/>
      <c r="H259" s="50"/>
      <c r="I259" s="37"/>
      <c r="J259" s="8"/>
      <c r="K259" s="8"/>
      <c r="L259" s="8"/>
      <c r="M259" s="8"/>
      <c r="N259" s="8"/>
      <c r="O259" s="8"/>
      <c r="P259" s="8"/>
      <c r="Q259" s="8"/>
      <c r="R259" s="3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</row>
    <row r="260">
      <c r="A260" s="8"/>
      <c r="B260" s="8"/>
      <c r="C260" s="8"/>
      <c r="D260" s="8"/>
      <c r="E260" s="8"/>
      <c r="F260" s="49"/>
      <c r="G260" s="49"/>
      <c r="H260" s="50"/>
      <c r="I260" s="37"/>
      <c r="J260" s="8"/>
      <c r="K260" s="8"/>
      <c r="L260" s="8"/>
      <c r="M260" s="8"/>
      <c r="N260" s="8"/>
      <c r="O260" s="8"/>
      <c r="P260" s="8"/>
      <c r="Q260" s="8"/>
      <c r="R260" s="3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</row>
    <row r="261">
      <c r="A261" s="8"/>
      <c r="B261" s="8"/>
      <c r="C261" s="8"/>
      <c r="D261" s="8"/>
      <c r="E261" s="8"/>
      <c r="F261" s="49"/>
      <c r="G261" s="49"/>
      <c r="H261" s="50"/>
      <c r="I261" s="37"/>
      <c r="J261" s="8"/>
      <c r="K261" s="8"/>
      <c r="L261" s="8"/>
      <c r="M261" s="8"/>
      <c r="N261" s="8"/>
      <c r="O261" s="8"/>
      <c r="P261" s="8"/>
      <c r="Q261" s="8"/>
      <c r="R261" s="3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</row>
    <row r="262">
      <c r="A262" s="8"/>
      <c r="B262" s="8"/>
      <c r="C262" s="8"/>
      <c r="D262" s="8"/>
      <c r="E262" s="8"/>
      <c r="F262" s="49"/>
      <c r="G262" s="49"/>
      <c r="H262" s="50"/>
      <c r="I262" s="37"/>
      <c r="J262" s="8"/>
      <c r="K262" s="8"/>
      <c r="L262" s="8"/>
      <c r="M262" s="8"/>
      <c r="N262" s="8"/>
      <c r="O262" s="8"/>
      <c r="P262" s="8"/>
      <c r="Q262" s="8"/>
      <c r="R262" s="3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</row>
    <row r="263">
      <c r="A263" s="8"/>
      <c r="B263" s="8"/>
      <c r="C263" s="8"/>
      <c r="D263" s="8"/>
      <c r="E263" s="8"/>
      <c r="F263" s="49"/>
      <c r="G263" s="49"/>
      <c r="H263" s="50"/>
      <c r="I263" s="37"/>
      <c r="J263" s="8"/>
      <c r="K263" s="8"/>
      <c r="L263" s="8"/>
      <c r="M263" s="8"/>
      <c r="N263" s="8"/>
      <c r="O263" s="8"/>
      <c r="P263" s="8"/>
      <c r="Q263" s="8"/>
      <c r="R263" s="3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</row>
    <row r="264">
      <c r="A264" s="8"/>
      <c r="B264" s="8"/>
      <c r="C264" s="8"/>
      <c r="D264" s="8"/>
      <c r="E264" s="8"/>
      <c r="F264" s="49"/>
      <c r="G264" s="49"/>
      <c r="H264" s="50"/>
      <c r="I264" s="37"/>
      <c r="J264" s="8"/>
      <c r="K264" s="8"/>
      <c r="L264" s="8"/>
      <c r="M264" s="8"/>
      <c r="N264" s="8"/>
      <c r="O264" s="8"/>
      <c r="P264" s="8"/>
      <c r="Q264" s="8"/>
      <c r="R264" s="3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</row>
    <row r="265">
      <c r="A265" s="8"/>
      <c r="B265" s="8"/>
      <c r="C265" s="8"/>
      <c r="D265" s="8"/>
      <c r="E265" s="8"/>
      <c r="F265" s="49"/>
      <c r="G265" s="49"/>
      <c r="H265" s="50"/>
      <c r="I265" s="37"/>
      <c r="J265" s="8"/>
      <c r="K265" s="8"/>
      <c r="L265" s="8"/>
      <c r="M265" s="8"/>
      <c r="N265" s="8"/>
      <c r="O265" s="8"/>
      <c r="P265" s="8"/>
      <c r="Q265" s="8"/>
      <c r="R265" s="3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</row>
    <row r="266">
      <c r="A266" s="8"/>
      <c r="B266" s="8"/>
      <c r="C266" s="8"/>
      <c r="D266" s="8"/>
      <c r="E266" s="8"/>
      <c r="F266" s="49"/>
      <c r="G266" s="49"/>
      <c r="H266" s="50"/>
      <c r="I266" s="37"/>
      <c r="J266" s="8"/>
      <c r="K266" s="8"/>
      <c r="L266" s="8"/>
      <c r="M266" s="8"/>
      <c r="N266" s="8"/>
      <c r="O266" s="8"/>
      <c r="P266" s="8"/>
      <c r="Q266" s="8"/>
      <c r="R266" s="3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</row>
    <row r="267">
      <c r="A267" s="8"/>
      <c r="B267" s="8"/>
      <c r="C267" s="8"/>
      <c r="D267" s="8"/>
      <c r="E267" s="8"/>
      <c r="F267" s="49"/>
      <c r="G267" s="49"/>
      <c r="H267" s="50"/>
      <c r="I267" s="37"/>
      <c r="J267" s="8"/>
      <c r="K267" s="8"/>
      <c r="L267" s="8"/>
      <c r="M267" s="8"/>
      <c r="N267" s="8"/>
      <c r="O267" s="8"/>
      <c r="P267" s="8"/>
      <c r="Q267" s="8"/>
      <c r="R267" s="3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</row>
    <row r="268">
      <c r="A268" s="8"/>
      <c r="B268" s="8"/>
      <c r="C268" s="8"/>
      <c r="D268" s="8"/>
      <c r="E268" s="8"/>
      <c r="F268" s="49"/>
      <c r="G268" s="49"/>
      <c r="H268" s="50"/>
      <c r="I268" s="37"/>
      <c r="J268" s="8"/>
      <c r="K268" s="8"/>
      <c r="L268" s="8"/>
      <c r="M268" s="8"/>
      <c r="N268" s="8"/>
      <c r="O268" s="8"/>
      <c r="P268" s="8"/>
      <c r="Q268" s="8"/>
      <c r="R268" s="3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</row>
    <row r="269">
      <c r="A269" s="8"/>
      <c r="B269" s="8"/>
      <c r="C269" s="8"/>
      <c r="D269" s="8"/>
      <c r="E269" s="8"/>
      <c r="F269" s="49"/>
      <c r="G269" s="49"/>
      <c r="H269" s="50"/>
      <c r="I269" s="37"/>
      <c r="J269" s="8"/>
      <c r="K269" s="8"/>
      <c r="L269" s="8"/>
      <c r="M269" s="8"/>
      <c r="N269" s="8"/>
      <c r="O269" s="8"/>
      <c r="P269" s="8"/>
      <c r="Q269" s="8"/>
      <c r="R269" s="3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</row>
    <row r="270">
      <c r="A270" s="8"/>
      <c r="B270" s="8"/>
      <c r="C270" s="8"/>
      <c r="D270" s="8"/>
      <c r="E270" s="8"/>
      <c r="F270" s="49"/>
      <c r="G270" s="49"/>
      <c r="H270" s="50"/>
      <c r="I270" s="37"/>
      <c r="J270" s="8"/>
      <c r="K270" s="8"/>
      <c r="L270" s="8"/>
      <c r="M270" s="8"/>
      <c r="N270" s="8"/>
      <c r="O270" s="8"/>
      <c r="P270" s="8"/>
      <c r="Q270" s="8"/>
      <c r="R270" s="3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</row>
    <row r="271">
      <c r="A271" s="8"/>
      <c r="B271" s="8"/>
      <c r="C271" s="8"/>
      <c r="D271" s="8"/>
      <c r="E271" s="8"/>
      <c r="F271" s="49"/>
      <c r="G271" s="49"/>
      <c r="H271" s="50"/>
      <c r="I271" s="37"/>
      <c r="J271" s="8"/>
      <c r="K271" s="8"/>
      <c r="L271" s="8"/>
      <c r="M271" s="8"/>
      <c r="N271" s="8"/>
      <c r="O271" s="8"/>
      <c r="P271" s="8"/>
      <c r="Q271" s="8"/>
      <c r="R271" s="3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</row>
    <row r="272">
      <c r="A272" s="8"/>
      <c r="B272" s="8"/>
      <c r="C272" s="8"/>
      <c r="D272" s="8"/>
      <c r="E272" s="8"/>
      <c r="F272" s="49"/>
      <c r="G272" s="49"/>
      <c r="H272" s="50"/>
      <c r="I272" s="37"/>
      <c r="J272" s="8"/>
      <c r="K272" s="8"/>
      <c r="L272" s="8"/>
      <c r="M272" s="8"/>
      <c r="N272" s="8"/>
      <c r="O272" s="8"/>
      <c r="P272" s="8"/>
      <c r="Q272" s="8"/>
      <c r="R272" s="3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</row>
    <row r="273">
      <c r="A273" s="8"/>
      <c r="B273" s="8"/>
      <c r="C273" s="8"/>
      <c r="D273" s="8"/>
      <c r="E273" s="8"/>
      <c r="F273" s="49"/>
      <c r="G273" s="49"/>
      <c r="H273" s="50"/>
      <c r="I273" s="37"/>
      <c r="J273" s="8"/>
      <c r="K273" s="8"/>
      <c r="L273" s="8"/>
      <c r="M273" s="8"/>
      <c r="N273" s="8"/>
      <c r="O273" s="8"/>
      <c r="P273" s="8"/>
      <c r="Q273" s="8"/>
      <c r="R273" s="3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</row>
    <row r="274">
      <c r="A274" s="8"/>
      <c r="B274" s="8"/>
      <c r="C274" s="8"/>
      <c r="D274" s="8"/>
      <c r="E274" s="8"/>
      <c r="F274" s="49"/>
      <c r="G274" s="49"/>
      <c r="H274" s="50"/>
      <c r="I274" s="37"/>
      <c r="J274" s="8"/>
      <c r="K274" s="8"/>
      <c r="L274" s="8"/>
      <c r="M274" s="8"/>
      <c r="N274" s="8"/>
      <c r="O274" s="8"/>
      <c r="P274" s="8"/>
      <c r="Q274" s="8"/>
      <c r="R274" s="3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</row>
    <row r="275">
      <c r="A275" s="8"/>
      <c r="B275" s="8"/>
      <c r="C275" s="8"/>
      <c r="D275" s="8"/>
      <c r="E275" s="8"/>
      <c r="F275" s="49"/>
      <c r="G275" s="49"/>
      <c r="H275" s="50"/>
      <c r="I275" s="37"/>
      <c r="J275" s="8"/>
      <c r="K275" s="8"/>
      <c r="L275" s="8"/>
      <c r="M275" s="8"/>
      <c r="N275" s="8"/>
      <c r="O275" s="8"/>
      <c r="P275" s="8"/>
      <c r="Q275" s="8"/>
      <c r="R275" s="3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</row>
    <row r="276">
      <c r="A276" s="8"/>
      <c r="B276" s="8"/>
      <c r="C276" s="8"/>
      <c r="D276" s="8"/>
      <c r="E276" s="8"/>
      <c r="F276" s="49"/>
      <c r="G276" s="49"/>
      <c r="H276" s="50"/>
      <c r="I276" s="37"/>
      <c r="J276" s="8"/>
      <c r="K276" s="8"/>
      <c r="L276" s="8"/>
      <c r="M276" s="8"/>
      <c r="N276" s="8"/>
      <c r="O276" s="8"/>
      <c r="P276" s="8"/>
      <c r="Q276" s="8"/>
      <c r="R276" s="3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</row>
    <row r="277">
      <c r="A277" s="8"/>
      <c r="B277" s="8"/>
      <c r="C277" s="8"/>
      <c r="D277" s="8"/>
      <c r="E277" s="8"/>
      <c r="F277" s="49"/>
      <c r="G277" s="49"/>
      <c r="H277" s="50"/>
      <c r="I277" s="37"/>
      <c r="J277" s="8"/>
      <c r="K277" s="8"/>
      <c r="L277" s="8"/>
      <c r="M277" s="8"/>
      <c r="N277" s="8"/>
      <c r="O277" s="8"/>
      <c r="P277" s="8"/>
      <c r="Q277" s="8"/>
      <c r="R277" s="3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</row>
    <row r="278">
      <c r="A278" s="8"/>
      <c r="B278" s="8"/>
      <c r="C278" s="8"/>
      <c r="D278" s="8"/>
      <c r="E278" s="8"/>
      <c r="F278" s="49"/>
      <c r="G278" s="49"/>
      <c r="H278" s="50"/>
      <c r="I278" s="37"/>
      <c r="J278" s="8"/>
      <c r="K278" s="8"/>
      <c r="L278" s="8"/>
      <c r="M278" s="8"/>
      <c r="N278" s="8"/>
      <c r="O278" s="8"/>
      <c r="P278" s="8"/>
      <c r="Q278" s="8"/>
      <c r="R278" s="3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</row>
    <row r="279">
      <c r="A279" s="8"/>
      <c r="B279" s="8"/>
      <c r="C279" s="8"/>
      <c r="D279" s="8"/>
      <c r="E279" s="8"/>
      <c r="F279" s="49"/>
      <c r="G279" s="49"/>
      <c r="H279" s="50"/>
      <c r="I279" s="37"/>
      <c r="J279" s="8"/>
      <c r="K279" s="8"/>
      <c r="L279" s="8"/>
      <c r="M279" s="8"/>
      <c r="N279" s="8"/>
      <c r="O279" s="8"/>
      <c r="P279" s="8"/>
      <c r="Q279" s="8"/>
      <c r="R279" s="3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</row>
    <row r="280">
      <c r="A280" s="8"/>
      <c r="B280" s="8"/>
      <c r="C280" s="8"/>
      <c r="D280" s="8"/>
      <c r="E280" s="8"/>
      <c r="F280" s="49"/>
      <c r="G280" s="49"/>
      <c r="H280" s="50"/>
      <c r="I280" s="37"/>
      <c r="J280" s="8"/>
      <c r="K280" s="8"/>
      <c r="L280" s="8"/>
      <c r="M280" s="8"/>
      <c r="N280" s="8"/>
      <c r="O280" s="8"/>
      <c r="P280" s="8"/>
      <c r="Q280" s="8"/>
      <c r="R280" s="3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</row>
    <row r="281">
      <c r="A281" s="8"/>
      <c r="B281" s="8"/>
      <c r="C281" s="8"/>
      <c r="D281" s="8"/>
      <c r="E281" s="8"/>
      <c r="F281" s="49"/>
      <c r="G281" s="49"/>
      <c r="H281" s="50"/>
      <c r="I281" s="37"/>
      <c r="J281" s="8"/>
      <c r="K281" s="8"/>
      <c r="L281" s="8"/>
      <c r="M281" s="8"/>
      <c r="N281" s="8"/>
      <c r="O281" s="8"/>
      <c r="P281" s="8"/>
      <c r="Q281" s="8"/>
      <c r="R281" s="3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</row>
    <row r="282">
      <c r="A282" s="8"/>
      <c r="B282" s="8"/>
      <c r="C282" s="8"/>
      <c r="D282" s="8"/>
      <c r="E282" s="8"/>
      <c r="F282" s="49"/>
      <c r="G282" s="49"/>
      <c r="H282" s="50"/>
      <c r="I282" s="37"/>
      <c r="J282" s="8"/>
      <c r="K282" s="8"/>
      <c r="L282" s="8"/>
      <c r="M282" s="8"/>
      <c r="N282" s="8"/>
      <c r="O282" s="8"/>
      <c r="P282" s="8"/>
      <c r="Q282" s="8"/>
      <c r="R282" s="3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</row>
    <row r="283">
      <c r="A283" s="8"/>
      <c r="B283" s="8"/>
      <c r="C283" s="8"/>
      <c r="D283" s="8"/>
      <c r="E283" s="8"/>
      <c r="F283" s="49"/>
      <c r="G283" s="49"/>
      <c r="H283" s="50"/>
      <c r="I283" s="37"/>
      <c r="J283" s="8"/>
      <c r="K283" s="8"/>
      <c r="L283" s="8"/>
      <c r="M283" s="8"/>
      <c r="N283" s="8"/>
      <c r="O283" s="8"/>
      <c r="P283" s="8"/>
      <c r="Q283" s="8"/>
      <c r="R283" s="3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</row>
    <row r="284">
      <c r="A284" s="8"/>
      <c r="B284" s="8"/>
      <c r="C284" s="8"/>
      <c r="D284" s="8"/>
      <c r="E284" s="8"/>
      <c r="F284" s="49"/>
      <c r="G284" s="49"/>
      <c r="H284" s="50"/>
      <c r="I284" s="37"/>
      <c r="J284" s="8"/>
      <c r="K284" s="8"/>
      <c r="L284" s="8"/>
      <c r="M284" s="8"/>
      <c r="N284" s="8"/>
      <c r="O284" s="8"/>
      <c r="P284" s="8"/>
      <c r="Q284" s="8"/>
      <c r="R284" s="3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</row>
    <row r="285">
      <c r="A285" s="8"/>
      <c r="B285" s="8"/>
      <c r="C285" s="8"/>
      <c r="D285" s="8"/>
      <c r="E285" s="8"/>
      <c r="F285" s="49"/>
      <c r="G285" s="49"/>
      <c r="H285" s="50"/>
      <c r="I285" s="37"/>
      <c r="J285" s="8"/>
      <c r="K285" s="8"/>
      <c r="L285" s="8"/>
      <c r="M285" s="8"/>
      <c r="N285" s="8"/>
      <c r="O285" s="8"/>
      <c r="P285" s="8"/>
      <c r="Q285" s="8"/>
      <c r="R285" s="3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</row>
    <row r="286">
      <c r="A286" s="8"/>
      <c r="B286" s="8"/>
      <c r="C286" s="8"/>
      <c r="D286" s="8"/>
      <c r="E286" s="8"/>
      <c r="F286" s="49"/>
      <c r="G286" s="49"/>
      <c r="H286" s="50"/>
      <c r="I286" s="37"/>
      <c r="J286" s="8"/>
      <c r="K286" s="8"/>
      <c r="L286" s="8"/>
      <c r="M286" s="8"/>
      <c r="N286" s="8"/>
      <c r="O286" s="8"/>
      <c r="P286" s="8"/>
      <c r="Q286" s="8"/>
      <c r="R286" s="3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</row>
    <row r="287">
      <c r="A287" s="8"/>
      <c r="B287" s="8"/>
      <c r="C287" s="8"/>
      <c r="D287" s="8"/>
      <c r="E287" s="8"/>
      <c r="F287" s="49"/>
      <c r="G287" s="49"/>
      <c r="H287" s="50"/>
      <c r="I287" s="37"/>
      <c r="J287" s="8"/>
      <c r="K287" s="8"/>
      <c r="L287" s="8"/>
      <c r="M287" s="8"/>
      <c r="N287" s="8"/>
      <c r="O287" s="8"/>
      <c r="P287" s="8"/>
      <c r="Q287" s="8"/>
      <c r="R287" s="3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</row>
    <row r="288">
      <c r="A288" s="8"/>
      <c r="B288" s="8"/>
      <c r="C288" s="8"/>
      <c r="D288" s="8"/>
      <c r="E288" s="8"/>
      <c r="F288" s="49"/>
      <c r="G288" s="49"/>
      <c r="H288" s="50"/>
      <c r="I288" s="37"/>
      <c r="J288" s="8"/>
      <c r="K288" s="8"/>
      <c r="L288" s="8"/>
      <c r="M288" s="8"/>
      <c r="N288" s="8"/>
      <c r="O288" s="8"/>
      <c r="P288" s="8"/>
      <c r="Q288" s="8"/>
      <c r="R288" s="3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</row>
    <row r="289">
      <c r="A289" s="8"/>
      <c r="B289" s="8"/>
      <c r="C289" s="8"/>
      <c r="D289" s="8"/>
      <c r="E289" s="8"/>
      <c r="F289" s="49"/>
      <c r="G289" s="49"/>
      <c r="H289" s="50"/>
      <c r="I289" s="37"/>
      <c r="J289" s="8"/>
      <c r="K289" s="8"/>
      <c r="L289" s="8"/>
      <c r="M289" s="8"/>
      <c r="N289" s="8"/>
      <c r="O289" s="8"/>
      <c r="P289" s="8"/>
      <c r="Q289" s="8"/>
      <c r="R289" s="3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</row>
    <row r="290">
      <c r="A290" s="8"/>
      <c r="B290" s="8"/>
      <c r="C290" s="8"/>
      <c r="D290" s="8"/>
      <c r="E290" s="8"/>
      <c r="F290" s="49"/>
      <c r="G290" s="49"/>
      <c r="H290" s="50"/>
      <c r="I290" s="37"/>
      <c r="J290" s="8"/>
      <c r="K290" s="8"/>
      <c r="L290" s="8"/>
      <c r="M290" s="8"/>
      <c r="N290" s="8"/>
      <c r="O290" s="8"/>
      <c r="P290" s="8"/>
      <c r="Q290" s="8"/>
      <c r="R290" s="3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</row>
    <row r="291">
      <c r="A291" s="8"/>
      <c r="B291" s="8"/>
      <c r="C291" s="8"/>
      <c r="D291" s="8"/>
      <c r="E291" s="8"/>
      <c r="F291" s="49"/>
      <c r="G291" s="49"/>
      <c r="H291" s="50"/>
      <c r="I291" s="37"/>
      <c r="J291" s="8"/>
      <c r="K291" s="8"/>
      <c r="L291" s="8"/>
      <c r="M291" s="8"/>
      <c r="N291" s="8"/>
      <c r="O291" s="8"/>
      <c r="P291" s="8"/>
      <c r="Q291" s="8"/>
      <c r="R291" s="3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</row>
    <row r="292">
      <c r="A292" s="8"/>
      <c r="B292" s="8"/>
      <c r="C292" s="8"/>
      <c r="D292" s="8"/>
      <c r="E292" s="8"/>
      <c r="F292" s="49"/>
      <c r="G292" s="49"/>
      <c r="H292" s="50"/>
      <c r="I292" s="37"/>
      <c r="J292" s="8"/>
      <c r="K292" s="8"/>
      <c r="L292" s="8"/>
      <c r="M292" s="8"/>
      <c r="N292" s="8"/>
      <c r="O292" s="8"/>
      <c r="P292" s="8"/>
      <c r="Q292" s="8"/>
      <c r="R292" s="3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</row>
    <row r="293">
      <c r="A293" s="8"/>
      <c r="B293" s="8"/>
      <c r="C293" s="8"/>
      <c r="D293" s="8"/>
      <c r="E293" s="8"/>
      <c r="F293" s="49"/>
      <c r="G293" s="49"/>
      <c r="H293" s="50"/>
      <c r="I293" s="37"/>
      <c r="J293" s="8"/>
      <c r="K293" s="8"/>
      <c r="L293" s="8"/>
      <c r="M293" s="8"/>
      <c r="N293" s="8"/>
      <c r="O293" s="8"/>
      <c r="P293" s="8"/>
      <c r="Q293" s="8"/>
      <c r="R293" s="3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</row>
    <row r="294">
      <c r="A294" s="8"/>
      <c r="B294" s="8"/>
      <c r="C294" s="8"/>
      <c r="D294" s="8"/>
      <c r="E294" s="8"/>
      <c r="F294" s="49"/>
      <c r="G294" s="49"/>
      <c r="H294" s="50"/>
      <c r="I294" s="37"/>
      <c r="J294" s="8"/>
      <c r="K294" s="8"/>
      <c r="L294" s="8"/>
      <c r="M294" s="8"/>
      <c r="N294" s="8"/>
      <c r="O294" s="8"/>
      <c r="P294" s="8"/>
      <c r="Q294" s="8"/>
      <c r="R294" s="3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</row>
    <row r="295">
      <c r="A295" s="8"/>
      <c r="B295" s="8"/>
      <c r="C295" s="8"/>
      <c r="D295" s="8"/>
      <c r="E295" s="8"/>
      <c r="F295" s="49"/>
      <c r="G295" s="49"/>
      <c r="H295" s="50"/>
      <c r="I295" s="37"/>
      <c r="J295" s="8"/>
      <c r="K295" s="8"/>
      <c r="L295" s="8"/>
      <c r="M295" s="8"/>
      <c r="N295" s="8"/>
      <c r="O295" s="8"/>
      <c r="P295" s="8"/>
      <c r="Q295" s="8"/>
      <c r="R295" s="3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</row>
    <row r="296">
      <c r="A296" s="8"/>
      <c r="B296" s="8"/>
      <c r="C296" s="8"/>
      <c r="D296" s="8"/>
      <c r="E296" s="8"/>
      <c r="F296" s="49"/>
      <c r="G296" s="49"/>
      <c r="H296" s="50"/>
      <c r="I296" s="37"/>
      <c r="J296" s="8"/>
      <c r="K296" s="8"/>
      <c r="L296" s="8"/>
      <c r="M296" s="8"/>
      <c r="N296" s="8"/>
      <c r="O296" s="8"/>
      <c r="P296" s="8"/>
      <c r="Q296" s="8"/>
      <c r="R296" s="3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</row>
    <row r="297">
      <c r="A297" s="8"/>
      <c r="B297" s="8"/>
      <c r="C297" s="8"/>
      <c r="D297" s="8"/>
      <c r="E297" s="8"/>
      <c r="F297" s="49"/>
      <c r="G297" s="49"/>
      <c r="H297" s="50"/>
      <c r="I297" s="37"/>
      <c r="J297" s="8"/>
      <c r="K297" s="8"/>
      <c r="L297" s="8"/>
      <c r="M297" s="8"/>
      <c r="N297" s="8"/>
      <c r="O297" s="8"/>
      <c r="P297" s="8"/>
      <c r="Q297" s="8"/>
      <c r="R297" s="3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</row>
    <row r="298">
      <c r="A298" s="8"/>
      <c r="B298" s="8"/>
      <c r="C298" s="8"/>
      <c r="D298" s="8"/>
      <c r="E298" s="8"/>
      <c r="F298" s="49"/>
      <c r="G298" s="49"/>
      <c r="H298" s="50"/>
      <c r="I298" s="37"/>
      <c r="J298" s="8"/>
      <c r="K298" s="8"/>
      <c r="L298" s="8"/>
      <c r="M298" s="8"/>
      <c r="N298" s="8"/>
      <c r="O298" s="8"/>
      <c r="P298" s="8"/>
      <c r="Q298" s="8"/>
      <c r="R298" s="3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</row>
    <row r="299">
      <c r="A299" s="8"/>
      <c r="B299" s="8"/>
      <c r="C299" s="8"/>
      <c r="D299" s="8"/>
      <c r="E299" s="8"/>
      <c r="F299" s="49"/>
      <c r="G299" s="49"/>
      <c r="H299" s="50"/>
      <c r="I299" s="37"/>
      <c r="J299" s="8"/>
      <c r="K299" s="8"/>
      <c r="L299" s="8"/>
      <c r="M299" s="8"/>
      <c r="N299" s="8"/>
      <c r="O299" s="8"/>
      <c r="P299" s="8"/>
      <c r="Q299" s="8"/>
      <c r="R299" s="3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</row>
    <row r="300">
      <c r="A300" s="8"/>
      <c r="B300" s="8"/>
      <c r="C300" s="8"/>
      <c r="D300" s="8"/>
      <c r="E300" s="8"/>
      <c r="F300" s="49"/>
      <c r="G300" s="49"/>
      <c r="H300" s="50"/>
      <c r="I300" s="37"/>
      <c r="J300" s="8"/>
      <c r="K300" s="8"/>
      <c r="L300" s="8"/>
      <c r="M300" s="8"/>
      <c r="N300" s="8"/>
      <c r="O300" s="8"/>
      <c r="P300" s="8"/>
      <c r="Q300" s="8"/>
      <c r="R300" s="3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</row>
    <row r="301">
      <c r="A301" s="8"/>
      <c r="B301" s="8"/>
      <c r="C301" s="8"/>
      <c r="D301" s="8"/>
      <c r="E301" s="8"/>
      <c r="F301" s="49"/>
      <c r="G301" s="49"/>
      <c r="H301" s="50"/>
      <c r="I301" s="37"/>
      <c r="J301" s="8"/>
      <c r="K301" s="8"/>
      <c r="L301" s="8"/>
      <c r="M301" s="8"/>
      <c r="N301" s="8"/>
      <c r="O301" s="8"/>
      <c r="P301" s="8"/>
      <c r="Q301" s="8"/>
      <c r="R301" s="3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</row>
    <row r="302">
      <c r="A302" s="8"/>
      <c r="B302" s="8"/>
      <c r="C302" s="8"/>
      <c r="D302" s="8"/>
      <c r="E302" s="8"/>
      <c r="F302" s="49"/>
      <c r="G302" s="49"/>
      <c r="H302" s="50"/>
      <c r="I302" s="37"/>
      <c r="J302" s="8"/>
      <c r="K302" s="8"/>
      <c r="L302" s="8"/>
      <c r="M302" s="8"/>
      <c r="N302" s="8"/>
      <c r="O302" s="8"/>
      <c r="P302" s="8"/>
      <c r="Q302" s="8"/>
      <c r="R302" s="3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</row>
    <row r="303">
      <c r="A303" s="8"/>
      <c r="B303" s="8"/>
      <c r="C303" s="8"/>
      <c r="D303" s="8"/>
      <c r="E303" s="8"/>
      <c r="F303" s="49"/>
      <c r="G303" s="49"/>
      <c r="H303" s="50"/>
      <c r="I303" s="37"/>
      <c r="J303" s="8"/>
      <c r="K303" s="8"/>
      <c r="L303" s="8"/>
      <c r="M303" s="8"/>
      <c r="N303" s="8"/>
      <c r="O303" s="8"/>
      <c r="P303" s="8"/>
      <c r="Q303" s="8"/>
      <c r="R303" s="3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</row>
    <row r="304">
      <c r="A304" s="8"/>
      <c r="B304" s="8"/>
      <c r="C304" s="8"/>
      <c r="D304" s="8"/>
      <c r="E304" s="8"/>
      <c r="F304" s="49"/>
      <c r="G304" s="49"/>
      <c r="H304" s="50"/>
      <c r="I304" s="37"/>
      <c r="J304" s="8"/>
      <c r="K304" s="8"/>
      <c r="L304" s="8"/>
      <c r="M304" s="8"/>
      <c r="N304" s="8"/>
      <c r="O304" s="8"/>
      <c r="P304" s="8"/>
      <c r="Q304" s="8"/>
      <c r="R304" s="3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</row>
    <row r="305">
      <c r="A305" s="8"/>
      <c r="B305" s="8"/>
      <c r="C305" s="8"/>
      <c r="D305" s="8"/>
      <c r="E305" s="8"/>
      <c r="F305" s="49"/>
      <c r="G305" s="49"/>
      <c r="H305" s="50"/>
      <c r="I305" s="37"/>
      <c r="J305" s="8"/>
      <c r="K305" s="8"/>
      <c r="L305" s="8"/>
      <c r="M305" s="8"/>
      <c r="N305" s="8"/>
      <c r="O305" s="8"/>
      <c r="P305" s="8"/>
      <c r="Q305" s="8"/>
      <c r="R305" s="3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</row>
    <row r="306">
      <c r="A306" s="8"/>
      <c r="B306" s="8"/>
      <c r="C306" s="8"/>
      <c r="D306" s="8"/>
      <c r="E306" s="8"/>
      <c r="F306" s="49"/>
      <c r="G306" s="49"/>
      <c r="H306" s="50"/>
      <c r="I306" s="37"/>
      <c r="J306" s="8"/>
      <c r="K306" s="8"/>
      <c r="L306" s="8"/>
      <c r="M306" s="8"/>
      <c r="N306" s="8"/>
      <c r="O306" s="8"/>
      <c r="P306" s="8"/>
      <c r="Q306" s="8"/>
      <c r="R306" s="3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</row>
    <row r="307">
      <c r="A307" s="8"/>
      <c r="B307" s="8"/>
      <c r="C307" s="8"/>
      <c r="D307" s="8"/>
      <c r="E307" s="8"/>
      <c r="F307" s="49"/>
      <c r="G307" s="49"/>
      <c r="H307" s="50"/>
      <c r="I307" s="37"/>
      <c r="J307" s="8"/>
      <c r="K307" s="8"/>
      <c r="L307" s="8"/>
      <c r="M307" s="8"/>
      <c r="N307" s="8"/>
      <c r="O307" s="8"/>
      <c r="P307" s="8"/>
      <c r="Q307" s="8"/>
      <c r="R307" s="3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</row>
    <row r="308">
      <c r="A308" s="8"/>
      <c r="B308" s="8"/>
      <c r="C308" s="8"/>
      <c r="D308" s="8"/>
      <c r="E308" s="8"/>
      <c r="F308" s="49"/>
      <c r="G308" s="49"/>
      <c r="H308" s="50"/>
      <c r="I308" s="37"/>
      <c r="J308" s="8"/>
      <c r="K308" s="8"/>
      <c r="L308" s="8"/>
      <c r="M308" s="8"/>
      <c r="N308" s="8"/>
      <c r="O308" s="8"/>
      <c r="P308" s="8"/>
      <c r="Q308" s="8"/>
      <c r="R308" s="3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</row>
    <row r="309">
      <c r="A309" s="8"/>
      <c r="B309" s="8"/>
      <c r="C309" s="8"/>
      <c r="D309" s="8"/>
      <c r="E309" s="8"/>
      <c r="F309" s="49"/>
      <c r="G309" s="49"/>
      <c r="H309" s="50"/>
      <c r="I309" s="37"/>
      <c r="J309" s="8"/>
      <c r="K309" s="8"/>
      <c r="L309" s="8"/>
      <c r="M309" s="8"/>
      <c r="N309" s="8"/>
      <c r="O309" s="8"/>
      <c r="P309" s="8"/>
      <c r="Q309" s="8"/>
      <c r="R309" s="3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</row>
    <row r="310">
      <c r="A310" s="8"/>
      <c r="B310" s="8"/>
      <c r="C310" s="8"/>
      <c r="D310" s="8"/>
      <c r="E310" s="8"/>
      <c r="F310" s="49"/>
      <c r="G310" s="49"/>
      <c r="H310" s="50"/>
      <c r="I310" s="37"/>
      <c r="J310" s="8"/>
      <c r="K310" s="8"/>
      <c r="L310" s="8"/>
      <c r="M310" s="8"/>
      <c r="N310" s="8"/>
      <c r="O310" s="8"/>
      <c r="P310" s="8"/>
      <c r="Q310" s="8"/>
      <c r="R310" s="3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</row>
    <row r="311">
      <c r="A311" s="8"/>
      <c r="B311" s="8"/>
      <c r="C311" s="8"/>
      <c r="D311" s="8"/>
      <c r="E311" s="8"/>
      <c r="F311" s="49"/>
      <c r="G311" s="49"/>
      <c r="H311" s="50"/>
      <c r="I311" s="37"/>
      <c r="J311" s="8"/>
      <c r="K311" s="8"/>
      <c r="L311" s="8"/>
      <c r="M311" s="8"/>
      <c r="N311" s="8"/>
      <c r="O311" s="8"/>
      <c r="P311" s="8"/>
      <c r="Q311" s="8"/>
      <c r="R311" s="3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</row>
    <row r="312">
      <c r="A312" s="8"/>
      <c r="B312" s="8"/>
      <c r="C312" s="8"/>
      <c r="D312" s="8"/>
      <c r="E312" s="8"/>
      <c r="F312" s="49"/>
      <c r="G312" s="49"/>
      <c r="H312" s="50"/>
      <c r="I312" s="37"/>
      <c r="J312" s="8"/>
      <c r="K312" s="8"/>
      <c r="L312" s="8"/>
      <c r="M312" s="8"/>
      <c r="N312" s="8"/>
      <c r="O312" s="8"/>
      <c r="P312" s="8"/>
      <c r="Q312" s="8"/>
      <c r="R312" s="3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</row>
    <row r="313">
      <c r="A313" s="8"/>
      <c r="B313" s="8"/>
      <c r="C313" s="8"/>
      <c r="D313" s="8"/>
      <c r="E313" s="8"/>
      <c r="F313" s="49"/>
      <c r="G313" s="49"/>
      <c r="H313" s="50"/>
      <c r="I313" s="37"/>
      <c r="J313" s="8"/>
      <c r="K313" s="8"/>
      <c r="L313" s="8"/>
      <c r="M313" s="8"/>
      <c r="N313" s="8"/>
      <c r="O313" s="8"/>
      <c r="P313" s="8"/>
      <c r="Q313" s="8"/>
      <c r="R313" s="3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</row>
    <row r="314">
      <c r="A314" s="8"/>
      <c r="B314" s="8"/>
      <c r="C314" s="8"/>
      <c r="D314" s="8"/>
      <c r="E314" s="8"/>
      <c r="F314" s="49"/>
      <c r="G314" s="49"/>
      <c r="H314" s="50"/>
      <c r="I314" s="37"/>
      <c r="J314" s="8"/>
      <c r="K314" s="8"/>
      <c r="L314" s="8"/>
      <c r="M314" s="8"/>
      <c r="N314" s="8"/>
      <c r="O314" s="8"/>
      <c r="P314" s="8"/>
      <c r="Q314" s="8"/>
      <c r="R314" s="3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</row>
    <row r="315">
      <c r="A315" s="8"/>
      <c r="B315" s="8"/>
      <c r="C315" s="8"/>
      <c r="D315" s="8"/>
      <c r="E315" s="8"/>
      <c r="F315" s="49"/>
      <c r="G315" s="49"/>
      <c r="H315" s="50"/>
      <c r="I315" s="37"/>
      <c r="J315" s="8"/>
      <c r="K315" s="8"/>
      <c r="L315" s="8"/>
      <c r="M315" s="8"/>
      <c r="N315" s="8"/>
      <c r="O315" s="8"/>
      <c r="P315" s="8"/>
      <c r="Q315" s="8"/>
      <c r="R315" s="3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</row>
    <row r="316">
      <c r="A316" s="8"/>
      <c r="B316" s="8"/>
      <c r="C316" s="8"/>
      <c r="D316" s="8"/>
      <c r="E316" s="8"/>
      <c r="F316" s="49"/>
      <c r="G316" s="49"/>
      <c r="H316" s="50"/>
      <c r="I316" s="37"/>
      <c r="J316" s="8"/>
      <c r="K316" s="8"/>
      <c r="L316" s="8"/>
      <c r="M316" s="8"/>
      <c r="N316" s="8"/>
      <c r="O316" s="8"/>
      <c r="P316" s="8"/>
      <c r="Q316" s="8"/>
      <c r="R316" s="3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</row>
    <row r="317">
      <c r="A317" s="8"/>
      <c r="B317" s="8"/>
      <c r="C317" s="8"/>
      <c r="D317" s="8"/>
      <c r="E317" s="8"/>
      <c r="F317" s="49"/>
      <c r="G317" s="49"/>
      <c r="H317" s="50"/>
      <c r="I317" s="37"/>
      <c r="J317" s="8"/>
      <c r="K317" s="8"/>
      <c r="L317" s="8"/>
      <c r="M317" s="8"/>
      <c r="N317" s="8"/>
      <c r="O317" s="8"/>
      <c r="P317" s="8"/>
      <c r="Q317" s="8"/>
      <c r="R317" s="3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</row>
    <row r="318">
      <c r="A318" s="8"/>
      <c r="B318" s="8"/>
      <c r="C318" s="8"/>
      <c r="D318" s="8"/>
      <c r="E318" s="8"/>
      <c r="F318" s="49"/>
      <c r="G318" s="49"/>
      <c r="H318" s="50"/>
      <c r="I318" s="37"/>
      <c r="J318" s="8"/>
      <c r="K318" s="8"/>
      <c r="L318" s="8"/>
      <c r="M318" s="8"/>
      <c r="N318" s="8"/>
      <c r="O318" s="8"/>
      <c r="P318" s="8"/>
      <c r="Q318" s="8"/>
      <c r="R318" s="3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</row>
    <row r="319">
      <c r="A319" s="8"/>
      <c r="B319" s="8"/>
      <c r="C319" s="8"/>
      <c r="D319" s="8"/>
      <c r="E319" s="8"/>
      <c r="F319" s="49"/>
      <c r="G319" s="49"/>
      <c r="H319" s="50"/>
      <c r="I319" s="37"/>
      <c r="J319" s="8"/>
      <c r="K319" s="8"/>
      <c r="L319" s="8"/>
      <c r="M319" s="8"/>
      <c r="N319" s="8"/>
      <c r="O319" s="8"/>
      <c r="P319" s="8"/>
      <c r="Q319" s="8"/>
      <c r="R319" s="3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</row>
    <row r="320">
      <c r="A320" s="8"/>
      <c r="B320" s="8"/>
      <c r="C320" s="8"/>
      <c r="D320" s="8"/>
      <c r="E320" s="8"/>
      <c r="F320" s="49"/>
      <c r="G320" s="49"/>
      <c r="H320" s="50"/>
      <c r="I320" s="37"/>
      <c r="J320" s="8"/>
      <c r="K320" s="8"/>
      <c r="L320" s="8"/>
      <c r="M320" s="8"/>
      <c r="N320" s="8"/>
      <c r="O320" s="8"/>
      <c r="P320" s="8"/>
      <c r="Q320" s="8"/>
      <c r="R320" s="3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</row>
    <row r="321">
      <c r="A321" s="8"/>
      <c r="B321" s="8"/>
      <c r="C321" s="8"/>
      <c r="D321" s="8"/>
      <c r="E321" s="8"/>
      <c r="F321" s="49"/>
      <c r="G321" s="49"/>
      <c r="H321" s="50"/>
      <c r="I321" s="37"/>
      <c r="J321" s="8"/>
      <c r="K321" s="8"/>
      <c r="L321" s="8"/>
      <c r="M321" s="8"/>
      <c r="N321" s="8"/>
      <c r="O321" s="8"/>
      <c r="P321" s="8"/>
      <c r="Q321" s="8"/>
      <c r="R321" s="3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</row>
    <row r="322">
      <c r="A322" s="8"/>
      <c r="B322" s="8"/>
      <c r="C322" s="8"/>
      <c r="D322" s="8"/>
      <c r="E322" s="8"/>
      <c r="F322" s="49"/>
      <c r="G322" s="49"/>
      <c r="H322" s="50"/>
      <c r="I322" s="37"/>
      <c r="J322" s="8"/>
      <c r="K322" s="8"/>
      <c r="L322" s="8"/>
      <c r="M322" s="8"/>
      <c r="N322" s="8"/>
      <c r="O322" s="8"/>
      <c r="P322" s="8"/>
      <c r="Q322" s="8"/>
      <c r="R322" s="3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</row>
    <row r="323">
      <c r="A323" s="8"/>
      <c r="B323" s="8"/>
      <c r="C323" s="8"/>
      <c r="D323" s="8"/>
      <c r="E323" s="8"/>
      <c r="F323" s="49"/>
      <c r="G323" s="49"/>
      <c r="H323" s="50"/>
      <c r="I323" s="37"/>
      <c r="J323" s="8"/>
      <c r="K323" s="8"/>
      <c r="L323" s="8"/>
      <c r="M323" s="8"/>
      <c r="N323" s="8"/>
      <c r="O323" s="8"/>
      <c r="P323" s="8"/>
      <c r="Q323" s="8"/>
      <c r="R323" s="3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</row>
    <row r="324">
      <c r="A324" s="8"/>
      <c r="B324" s="8"/>
      <c r="C324" s="8"/>
      <c r="D324" s="8"/>
      <c r="E324" s="8"/>
      <c r="F324" s="49"/>
      <c r="G324" s="49"/>
      <c r="H324" s="50"/>
      <c r="I324" s="37"/>
      <c r="J324" s="8"/>
      <c r="K324" s="8"/>
      <c r="L324" s="8"/>
      <c r="M324" s="8"/>
      <c r="N324" s="8"/>
      <c r="O324" s="8"/>
      <c r="P324" s="8"/>
      <c r="Q324" s="8"/>
      <c r="R324" s="3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</row>
    <row r="325">
      <c r="A325" s="8"/>
      <c r="B325" s="8"/>
      <c r="C325" s="8"/>
      <c r="D325" s="8"/>
      <c r="E325" s="8"/>
      <c r="F325" s="49"/>
      <c r="G325" s="49"/>
      <c r="H325" s="50"/>
      <c r="I325" s="37"/>
      <c r="J325" s="8"/>
      <c r="K325" s="8"/>
      <c r="L325" s="8"/>
      <c r="M325" s="8"/>
      <c r="N325" s="8"/>
      <c r="O325" s="8"/>
      <c r="P325" s="8"/>
      <c r="Q325" s="8"/>
      <c r="R325" s="3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</row>
    <row r="326">
      <c r="A326" s="8"/>
      <c r="B326" s="8"/>
      <c r="C326" s="8"/>
      <c r="D326" s="8"/>
      <c r="E326" s="8"/>
      <c r="F326" s="49"/>
      <c r="G326" s="49"/>
      <c r="H326" s="50"/>
      <c r="I326" s="37"/>
      <c r="J326" s="8"/>
      <c r="K326" s="8"/>
      <c r="L326" s="8"/>
      <c r="M326" s="8"/>
      <c r="N326" s="8"/>
      <c r="O326" s="8"/>
      <c r="P326" s="8"/>
      <c r="Q326" s="8"/>
      <c r="R326" s="3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</row>
    <row r="327">
      <c r="A327" s="8"/>
      <c r="B327" s="8"/>
      <c r="C327" s="8"/>
      <c r="D327" s="8"/>
      <c r="E327" s="8"/>
      <c r="F327" s="49"/>
      <c r="G327" s="49"/>
      <c r="H327" s="50"/>
      <c r="I327" s="37"/>
      <c r="J327" s="8"/>
      <c r="K327" s="8"/>
      <c r="L327" s="8"/>
      <c r="M327" s="8"/>
      <c r="N327" s="8"/>
      <c r="O327" s="8"/>
      <c r="P327" s="8"/>
      <c r="Q327" s="8"/>
      <c r="R327" s="3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</row>
    <row r="328">
      <c r="A328" s="8"/>
      <c r="B328" s="8"/>
      <c r="C328" s="8"/>
      <c r="D328" s="8"/>
      <c r="E328" s="8"/>
      <c r="F328" s="49"/>
      <c r="G328" s="49"/>
      <c r="H328" s="50"/>
      <c r="I328" s="37"/>
      <c r="J328" s="8"/>
      <c r="K328" s="8"/>
      <c r="L328" s="8"/>
      <c r="M328" s="8"/>
      <c r="N328" s="8"/>
      <c r="O328" s="8"/>
      <c r="P328" s="8"/>
      <c r="Q328" s="8"/>
      <c r="R328" s="3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</row>
    <row r="329">
      <c r="A329" s="8"/>
      <c r="B329" s="8"/>
      <c r="C329" s="8"/>
      <c r="D329" s="8"/>
      <c r="E329" s="8"/>
      <c r="F329" s="49"/>
      <c r="G329" s="49"/>
      <c r="H329" s="50"/>
      <c r="I329" s="37"/>
      <c r="J329" s="8"/>
      <c r="K329" s="8"/>
      <c r="L329" s="8"/>
      <c r="M329" s="8"/>
      <c r="N329" s="8"/>
      <c r="O329" s="8"/>
      <c r="P329" s="8"/>
      <c r="Q329" s="8"/>
      <c r="R329" s="3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</row>
    <row r="330">
      <c r="A330" s="8"/>
      <c r="B330" s="8"/>
      <c r="C330" s="8"/>
      <c r="D330" s="8"/>
      <c r="E330" s="8"/>
      <c r="F330" s="49"/>
      <c r="G330" s="49"/>
      <c r="H330" s="50"/>
      <c r="I330" s="37"/>
      <c r="J330" s="8"/>
      <c r="K330" s="8"/>
      <c r="L330" s="8"/>
      <c r="M330" s="8"/>
      <c r="N330" s="8"/>
      <c r="O330" s="8"/>
      <c r="P330" s="8"/>
      <c r="Q330" s="8"/>
      <c r="R330" s="3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</row>
    <row r="331">
      <c r="A331" s="8"/>
      <c r="B331" s="8"/>
      <c r="C331" s="8"/>
      <c r="D331" s="8"/>
      <c r="E331" s="8"/>
      <c r="F331" s="49"/>
      <c r="G331" s="49"/>
      <c r="H331" s="50"/>
      <c r="I331" s="37"/>
      <c r="J331" s="8"/>
      <c r="K331" s="8"/>
      <c r="L331" s="8"/>
      <c r="M331" s="8"/>
      <c r="N331" s="8"/>
      <c r="O331" s="8"/>
      <c r="P331" s="8"/>
      <c r="Q331" s="8"/>
      <c r="R331" s="3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</row>
    <row r="332">
      <c r="A332" s="8"/>
      <c r="B332" s="8"/>
      <c r="C332" s="8"/>
      <c r="D332" s="8"/>
      <c r="E332" s="8"/>
      <c r="F332" s="49"/>
      <c r="G332" s="49"/>
      <c r="H332" s="50"/>
      <c r="I332" s="37"/>
      <c r="J332" s="8"/>
      <c r="K332" s="8"/>
      <c r="L332" s="8"/>
      <c r="M332" s="8"/>
      <c r="N332" s="8"/>
      <c r="O332" s="8"/>
      <c r="P332" s="8"/>
      <c r="Q332" s="8"/>
      <c r="R332" s="3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</row>
    <row r="333">
      <c r="A333" s="8"/>
      <c r="B333" s="8"/>
      <c r="C333" s="8"/>
      <c r="D333" s="8"/>
      <c r="E333" s="8"/>
      <c r="F333" s="49"/>
      <c r="G333" s="49"/>
      <c r="H333" s="50"/>
      <c r="I333" s="37"/>
      <c r="J333" s="8"/>
      <c r="K333" s="8"/>
      <c r="L333" s="8"/>
      <c r="M333" s="8"/>
      <c r="N333" s="8"/>
      <c r="O333" s="8"/>
      <c r="P333" s="8"/>
      <c r="Q333" s="8"/>
      <c r="R333" s="3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</row>
    <row r="334">
      <c r="A334" s="8"/>
      <c r="B334" s="8"/>
      <c r="C334" s="8"/>
      <c r="D334" s="8"/>
      <c r="E334" s="8"/>
      <c r="F334" s="49"/>
      <c r="G334" s="49"/>
      <c r="H334" s="50"/>
      <c r="I334" s="37"/>
      <c r="J334" s="8"/>
      <c r="K334" s="8"/>
      <c r="L334" s="8"/>
      <c r="M334" s="8"/>
      <c r="N334" s="8"/>
      <c r="O334" s="8"/>
      <c r="P334" s="8"/>
      <c r="Q334" s="8"/>
      <c r="R334" s="3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</row>
    <row r="335">
      <c r="A335" s="8"/>
      <c r="B335" s="8"/>
      <c r="C335" s="8"/>
      <c r="D335" s="8"/>
      <c r="E335" s="8"/>
      <c r="F335" s="49"/>
      <c r="G335" s="49"/>
      <c r="H335" s="50"/>
      <c r="I335" s="37"/>
      <c r="J335" s="8"/>
      <c r="K335" s="8"/>
      <c r="L335" s="8"/>
      <c r="M335" s="8"/>
      <c r="N335" s="8"/>
      <c r="O335" s="8"/>
      <c r="P335" s="8"/>
      <c r="Q335" s="8"/>
      <c r="R335" s="3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</row>
    <row r="336">
      <c r="A336" s="8"/>
      <c r="B336" s="8"/>
      <c r="C336" s="8"/>
      <c r="D336" s="8"/>
      <c r="E336" s="8"/>
      <c r="F336" s="49"/>
      <c r="G336" s="49"/>
      <c r="H336" s="50"/>
      <c r="I336" s="37"/>
      <c r="J336" s="8"/>
      <c r="K336" s="8"/>
      <c r="L336" s="8"/>
      <c r="M336" s="8"/>
      <c r="N336" s="8"/>
      <c r="O336" s="8"/>
      <c r="P336" s="8"/>
      <c r="Q336" s="8"/>
      <c r="R336" s="3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</row>
    <row r="337">
      <c r="A337" s="8"/>
      <c r="B337" s="8"/>
      <c r="C337" s="8"/>
      <c r="D337" s="8"/>
      <c r="E337" s="8"/>
      <c r="F337" s="49"/>
      <c r="G337" s="49"/>
      <c r="H337" s="50"/>
      <c r="I337" s="37"/>
      <c r="J337" s="8"/>
      <c r="K337" s="8"/>
      <c r="L337" s="8"/>
      <c r="M337" s="8"/>
      <c r="N337" s="8"/>
      <c r="O337" s="8"/>
      <c r="P337" s="8"/>
      <c r="Q337" s="8"/>
      <c r="R337" s="3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</row>
    <row r="338">
      <c r="A338" s="8"/>
      <c r="B338" s="8"/>
      <c r="C338" s="8"/>
      <c r="D338" s="8"/>
      <c r="E338" s="8"/>
      <c r="F338" s="49"/>
      <c r="G338" s="49"/>
      <c r="H338" s="50"/>
      <c r="I338" s="37"/>
      <c r="J338" s="8"/>
      <c r="K338" s="8"/>
      <c r="L338" s="8"/>
      <c r="M338" s="8"/>
      <c r="N338" s="8"/>
      <c r="O338" s="8"/>
      <c r="P338" s="8"/>
      <c r="Q338" s="8"/>
      <c r="R338" s="3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</row>
    <row r="339">
      <c r="A339" s="8"/>
      <c r="B339" s="8"/>
      <c r="C339" s="8"/>
      <c r="D339" s="8"/>
      <c r="E339" s="8"/>
      <c r="F339" s="49"/>
      <c r="G339" s="49"/>
      <c r="H339" s="50"/>
      <c r="I339" s="37"/>
      <c r="J339" s="8"/>
      <c r="K339" s="8"/>
      <c r="L339" s="8"/>
      <c r="M339" s="8"/>
      <c r="N339" s="8"/>
      <c r="O339" s="8"/>
      <c r="P339" s="8"/>
      <c r="Q339" s="8"/>
      <c r="R339" s="3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</row>
    <row r="340">
      <c r="A340" s="8"/>
      <c r="B340" s="8"/>
      <c r="C340" s="8"/>
      <c r="D340" s="8"/>
      <c r="E340" s="8"/>
      <c r="F340" s="49"/>
      <c r="G340" s="49"/>
      <c r="H340" s="50"/>
      <c r="I340" s="37"/>
      <c r="J340" s="8"/>
      <c r="K340" s="8"/>
      <c r="L340" s="8"/>
      <c r="M340" s="8"/>
      <c r="N340" s="8"/>
      <c r="O340" s="8"/>
      <c r="P340" s="8"/>
      <c r="Q340" s="8"/>
      <c r="R340" s="3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</row>
    <row r="341">
      <c r="A341" s="8"/>
      <c r="B341" s="8"/>
      <c r="C341" s="8"/>
      <c r="D341" s="8"/>
      <c r="E341" s="8"/>
      <c r="F341" s="49"/>
      <c r="G341" s="49"/>
      <c r="H341" s="50"/>
      <c r="I341" s="37"/>
      <c r="J341" s="8"/>
      <c r="K341" s="8"/>
      <c r="L341" s="8"/>
      <c r="M341" s="8"/>
      <c r="N341" s="8"/>
      <c r="O341" s="8"/>
      <c r="P341" s="8"/>
      <c r="Q341" s="8"/>
      <c r="R341" s="3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</row>
    <row r="342">
      <c r="A342" s="8"/>
      <c r="B342" s="8"/>
      <c r="C342" s="8"/>
      <c r="D342" s="8"/>
      <c r="E342" s="8"/>
      <c r="F342" s="49"/>
      <c r="G342" s="49"/>
      <c r="H342" s="50"/>
      <c r="I342" s="37"/>
      <c r="J342" s="8"/>
      <c r="K342" s="8"/>
      <c r="L342" s="8"/>
      <c r="M342" s="8"/>
      <c r="N342" s="8"/>
      <c r="O342" s="8"/>
      <c r="P342" s="8"/>
      <c r="Q342" s="8"/>
      <c r="R342" s="3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</row>
    <row r="343">
      <c r="A343" s="8"/>
      <c r="B343" s="8"/>
      <c r="C343" s="8"/>
      <c r="D343" s="8"/>
      <c r="E343" s="8"/>
      <c r="F343" s="49"/>
      <c r="G343" s="49"/>
      <c r="H343" s="50"/>
      <c r="I343" s="37"/>
      <c r="J343" s="8"/>
      <c r="K343" s="8"/>
      <c r="L343" s="8"/>
      <c r="M343" s="8"/>
      <c r="N343" s="8"/>
      <c r="O343" s="8"/>
      <c r="P343" s="8"/>
      <c r="Q343" s="8"/>
      <c r="R343" s="3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</row>
    <row r="344">
      <c r="A344" s="8"/>
      <c r="B344" s="8"/>
      <c r="C344" s="8"/>
      <c r="D344" s="8"/>
      <c r="E344" s="8"/>
      <c r="F344" s="49"/>
      <c r="G344" s="49"/>
      <c r="H344" s="50"/>
      <c r="I344" s="37"/>
      <c r="J344" s="8"/>
      <c r="K344" s="8"/>
      <c r="L344" s="8"/>
      <c r="M344" s="8"/>
      <c r="N344" s="8"/>
      <c r="O344" s="8"/>
      <c r="P344" s="8"/>
      <c r="Q344" s="8"/>
      <c r="R344" s="3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</row>
    <row r="345">
      <c r="A345" s="8"/>
      <c r="B345" s="8"/>
      <c r="C345" s="8"/>
      <c r="D345" s="8"/>
      <c r="E345" s="8"/>
      <c r="F345" s="49"/>
      <c r="G345" s="49"/>
      <c r="H345" s="50"/>
      <c r="I345" s="37"/>
      <c r="J345" s="8"/>
      <c r="K345" s="8"/>
      <c r="L345" s="8"/>
      <c r="M345" s="8"/>
      <c r="N345" s="8"/>
      <c r="O345" s="8"/>
      <c r="P345" s="8"/>
      <c r="Q345" s="8"/>
      <c r="R345" s="3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</row>
    <row r="346">
      <c r="A346" s="8"/>
      <c r="B346" s="8"/>
      <c r="C346" s="8"/>
      <c r="D346" s="8"/>
      <c r="E346" s="8"/>
      <c r="F346" s="49"/>
      <c r="G346" s="49"/>
      <c r="H346" s="50"/>
      <c r="I346" s="37"/>
      <c r="J346" s="8"/>
      <c r="K346" s="8"/>
      <c r="L346" s="8"/>
      <c r="M346" s="8"/>
      <c r="N346" s="8"/>
      <c r="O346" s="8"/>
      <c r="P346" s="8"/>
      <c r="Q346" s="8"/>
      <c r="R346" s="3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</row>
    <row r="347">
      <c r="A347" s="8"/>
      <c r="B347" s="8"/>
      <c r="C347" s="8"/>
      <c r="D347" s="8"/>
      <c r="E347" s="8"/>
      <c r="F347" s="49"/>
      <c r="G347" s="49"/>
      <c r="H347" s="50"/>
      <c r="I347" s="37"/>
      <c r="J347" s="8"/>
      <c r="K347" s="8"/>
      <c r="L347" s="8"/>
      <c r="M347" s="8"/>
      <c r="N347" s="8"/>
      <c r="O347" s="8"/>
      <c r="P347" s="8"/>
      <c r="Q347" s="8"/>
      <c r="R347" s="3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</row>
    <row r="348">
      <c r="A348" s="8"/>
      <c r="B348" s="8"/>
      <c r="C348" s="8"/>
      <c r="D348" s="8"/>
      <c r="E348" s="8"/>
      <c r="F348" s="49"/>
      <c r="G348" s="49"/>
      <c r="H348" s="50"/>
      <c r="I348" s="37"/>
      <c r="J348" s="8"/>
      <c r="K348" s="8"/>
      <c r="L348" s="8"/>
      <c r="M348" s="8"/>
      <c r="N348" s="8"/>
      <c r="O348" s="8"/>
      <c r="P348" s="8"/>
      <c r="Q348" s="8"/>
      <c r="R348" s="3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</row>
    <row r="349">
      <c r="A349" s="8"/>
      <c r="B349" s="8"/>
      <c r="C349" s="8"/>
      <c r="D349" s="8"/>
      <c r="E349" s="8"/>
      <c r="F349" s="49"/>
      <c r="G349" s="49"/>
      <c r="H349" s="50"/>
      <c r="I349" s="37"/>
      <c r="J349" s="8"/>
      <c r="K349" s="8"/>
      <c r="L349" s="8"/>
      <c r="M349" s="8"/>
      <c r="N349" s="8"/>
      <c r="O349" s="8"/>
      <c r="P349" s="8"/>
      <c r="Q349" s="8"/>
      <c r="R349" s="3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</row>
    <row r="350">
      <c r="A350" s="8"/>
      <c r="B350" s="8"/>
      <c r="C350" s="8"/>
      <c r="D350" s="8"/>
      <c r="E350" s="8"/>
      <c r="F350" s="49"/>
      <c r="G350" s="49"/>
      <c r="H350" s="50"/>
      <c r="I350" s="37"/>
      <c r="J350" s="8"/>
      <c r="K350" s="8"/>
      <c r="L350" s="8"/>
      <c r="M350" s="8"/>
      <c r="N350" s="8"/>
      <c r="O350" s="8"/>
      <c r="P350" s="8"/>
      <c r="Q350" s="8"/>
      <c r="R350" s="3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</row>
    <row r="351">
      <c r="A351" s="8"/>
      <c r="B351" s="8"/>
      <c r="C351" s="8"/>
      <c r="D351" s="8"/>
      <c r="E351" s="8"/>
      <c r="F351" s="49"/>
      <c r="G351" s="49"/>
      <c r="H351" s="50"/>
      <c r="I351" s="37"/>
      <c r="J351" s="8"/>
      <c r="K351" s="8"/>
      <c r="L351" s="8"/>
      <c r="M351" s="8"/>
      <c r="N351" s="8"/>
      <c r="O351" s="8"/>
      <c r="P351" s="8"/>
      <c r="Q351" s="8"/>
      <c r="R351" s="3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</row>
    <row r="352">
      <c r="A352" s="8"/>
      <c r="B352" s="8"/>
      <c r="C352" s="8"/>
      <c r="D352" s="8"/>
      <c r="E352" s="8"/>
      <c r="F352" s="49"/>
      <c r="G352" s="49"/>
      <c r="H352" s="50"/>
      <c r="I352" s="37"/>
      <c r="J352" s="8"/>
      <c r="K352" s="8"/>
      <c r="L352" s="8"/>
      <c r="M352" s="8"/>
      <c r="N352" s="8"/>
      <c r="O352" s="8"/>
      <c r="P352" s="8"/>
      <c r="Q352" s="8"/>
      <c r="R352" s="3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</row>
    <row r="353">
      <c r="A353" s="8"/>
      <c r="B353" s="8"/>
      <c r="C353" s="8"/>
      <c r="D353" s="8"/>
      <c r="E353" s="8"/>
      <c r="F353" s="49"/>
      <c r="G353" s="49"/>
      <c r="H353" s="50"/>
      <c r="I353" s="37"/>
      <c r="J353" s="8"/>
      <c r="K353" s="8"/>
      <c r="L353" s="8"/>
      <c r="M353" s="8"/>
      <c r="N353" s="8"/>
      <c r="O353" s="8"/>
      <c r="P353" s="8"/>
      <c r="Q353" s="8"/>
      <c r="R353" s="3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</row>
    <row r="354">
      <c r="A354" s="8"/>
      <c r="B354" s="8"/>
      <c r="C354" s="8"/>
      <c r="D354" s="8"/>
      <c r="E354" s="8"/>
      <c r="F354" s="49"/>
      <c r="G354" s="49"/>
      <c r="H354" s="50"/>
      <c r="I354" s="37"/>
      <c r="J354" s="8"/>
      <c r="K354" s="8"/>
      <c r="L354" s="8"/>
      <c r="M354" s="8"/>
      <c r="N354" s="8"/>
      <c r="O354" s="8"/>
      <c r="P354" s="8"/>
      <c r="Q354" s="8"/>
      <c r="R354" s="3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</row>
    <row r="355">
      <c r="A355" s="8"/>
      <c r="B355" s="8"/>
      <c r="C355" s="8"/>
      <c r="D355" s="8"/>
      <c r="E355" s="8"/>
      <c r="F355" s="49"/>
      <c r="G355" s="49"/>
      <c r="H355" s="50"/>
      <c r="I355" s="37"/>
      <c r="J355" s="8"/>
      <c r="K355" s="8"/>
      <c r="L355" s="8"/>
      <c r="M355" s="8"/>
      <c r="N355" s="8"/>
      <c r="O355" s="8"/>
      <c r="P355" s="8"/>
      <c r="Q355" s="8"/>
      <c r="R355" s="3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</row>
    <row r="356">
      <c r="A356" s="8"/>
      <c r="B356" s="8"/>
      <c r="C356" s="8"/>
      <c r="D356" s="8"/>
      <c r="E356" s="8"/>
      <c r="F356" s="49"/>
      <c r="G356" s="49"/>
      <c r="H356" s="50"/>
      <c r="I356" s="37"/>
      <c r="J356" s="8"/>
      <c r="K356" s="8"/>
      <c r="L356" s="8"/>
      <c r="M356" s="8"/>
      <c r="N356" s="8"/>
      <c r="O356" s="8"/>
      <c r="P356" s="8"/>
      <c r="Q356" s="8"/>
      <c r="R356" s="3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</row>
    <row r="357">
      <c r="A357" s="8"/>
      <c r="B357" s="8"/>
      <c r="C357" s="8"/>
      <c r="D357" s="8"/>
      <c r="E357" s="8"/>
      <c r="F357" s="49"/>
      <c r="G357" s="49"/>
      <c r="H357" s="50"/>
      <c r="I357" s="37"/>
      <c r="J357" s="8"/>
      <c r="K357" s="8"/>
      <c r="L357" s="8"/>
      <c r="M357" s="8"/>
      <c r="N357" s="8"/>
      <c r="O357" s="8"/>
      <c r="P357" s="8"/>
      <c r="Q357" s="8"/>
      <c r="R357" s="3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</row>
    <row r="358">
      <c r="A358" s="8"/>
      <c r="B358" s="8"/>
      <c r="C358" s="8"/>
      <c r="D358" s="8"/>
      <c r="E358" s="8"/>
      <c r="F358" s="49"/>
      <c r="G358" s="49"/>
      <c r="H358" s="50"/>
      <c r="I358" s="37"/>
      <c r="J358" s="8"/>
      <c r="K358" s="8"/>
      <c r="L358" s="8"/>
      <c r="M358" s="8"/>
      <c r="N358" s="8"/>
      <c r="O358" s="8"/>
      <c r="P358" s="8"/>
      <c r="Q358" s="8"/>
      <c r="R358" s="3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</row>
    <row r="359">
      <c r="A359" s="8"/>
      <c r="B359" s="8"/>
      <c r="C359" s="8"/>
      <c r="D359" s="8"/>
      <c r="E359" s="8"/>
      <c r="F359" s="49"/>
      <c r="G359" s="49"/>
      <c r="H359" s="50"/>
      <c r="I359" s="37"/>
      <c r="J359" s="8"/>
      <c r="K359" s="8"/>
      <c r="L359" s="8"/>
      <c r="M359" s="8"/>
      <c r="N359" s="8"/>
      <c r="O359" s="8"/>
      <c r="P359" s="8"/>
      <c r="Q359" s="8"/>
      <c r="R359" s="3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</row>
    <row r="360">
      <c r="A360" s="8"/>
      <c r="B360" s="8"/>
      <c r="C360" s="8"/>
      <c r="D360" s="8"/>
      <c r="E360" s="8"/>
      <c r="F360" s="49"/>
      <c r="G360" s="49"/>
      <c r="H360" s="50"/>
      <c r="I360" s="37"/>
      <c r="J360" s="8"/>
      <c r="K360" s="8"/>
      <c r="L360" s="8"/>
      <c r="M360" s="8"/>
      <c r="N360" s="8"/>
      <c r="O360" s="8"/>
      <c r="P360" s="8"/>
      <c r="Q360" s="8"/>
      <c r="R360" s="3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</row>
    <row r="361">
      <c r="A361" s="8"/>
      <c r="B361" s="8"/>
      <c r="C361" s="8"/>
      <c r="D361" s="8"/>
      <c r="E361" s="8"/>
      <c r="F361" s="49"/>
      <c r="G361" s="49"/>
      <c r="H361" s="50"/>
      <c r="I361" s="37"/>
      <c r="J361" s="8"/>
      <c r="K361" s="8"/>
      <c r="L361" s="8"/>
      <c r="M361" s="8"/>
      <c r="N361" s="8"/>
      <c r="O361" s="8"/>
      <c r="P361" s="8"/>
      <c r="Q361" s="8"/>
      <c r="R361" s="3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</row>
    <row r="362">
      <c r="A362" s="8"/>
      <c r="B362" s="8"/>
      <c r="C362" s="8"/>
      <c r="D362" s="8"/>
      <c r="E362" s="8"/>
      <c r="F362" s="49"/>
      <c r="G362" s="49"/>
      <c r="H362" s="50"/>
      <c r="I362" s="37"/>
      <c r="J362" s="8"/>
      <c r="K362" s="8"/>
      <c r="L362" s="8"/>
      <c r="M362" s="8"/>
      <c r="N362" s="8"/>
      <c r="O362" s="8"/>
      <c r="P362" s="8"/>
      <c r="Q362" s="8"/>
      <c r="R362" s="3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</row>
    <row r="363">
      <c r="A363" s="8"/>
      <c r="B363" s="8"/>
      <c r="C363" s="8"/>
      <c r="D363" s="8"/>
      <c r="E363" s="8"/>
      <c r="F363" s="49"/>
      <c r="G363" s="49"/>
      <c r="H363" s="50"/>
      <c r="I363" s="37"/>
      <c r="J363" s="8"/>
      <c r="K363" s="8"/>
      <c r="L363" s="8"/>
      <c r="M363" s="8"/>
      <c r="N363" s="8"/>
      <c r="O363" s="8"/>
      <c r="P363" s="8"/>
      <c r="Q363" s="8"/>
      <c r="R363" s="3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</row>
    <row r="364">
      <c r="A364" s="8"/>
      <c r="B364" s="8"/>
      <c r="C364" s="8"/>
      <c r="D364" s="8"/>
      <c r="E364" s="8"/>
      <c r="F364" s="49"/>
      <c r="G364" s="49"/>
      <c r="H364" s="50"/>
      <c r="I364" s="37"/>
      <c r="J364" s="8"/>
      <c r="K364" s="8"/>
      <c r="L364" s="8"/>
      <c r="M364" s="8"/>
      <c r="N364" s="8"/>
      <c r="O364" s="8"/>
      <c r="P364" s="8"/>
      <c r="Q364" s="8"/>
      <c r="R364" s="3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</row>
    <row r="365">
      <c r="A365" s="8"/>
      <c r="B365" s="8"/>
      <c r="C365" s="8"/>
      <c r="D365" s="8"/>
      <c r="E365" s="8"/>
      <c r="F365" s="49"/>
      <c r="G365" s="49"/>
      <c r="H365" s="50"/>
      <c r="I365" s="37"/>
      <c r="J365" s="8"/>
      <c r="K365" s="8"/>
      <c r="L365" s="8"/>
      <c r="M365" s="8"/>
      <c r="N365" s="8"/>
      <c r="O365" s="8"/>
      <c r="P365" s="8"/>
      <c r="Q365" s="8"/>
      <c r="R365" s="3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</row>
    <row r="366">
      <c r="A366" s="8"/>
      <c r="B366" s="8"/>
      <c r="C366" s="8"/>
      <c r="D366" s="8"/>
      <c r="E366" s="8"/>
      <c r="F366" s="49"/>
      <c r="G366" s="49"/>
      <c r="H366" s="50"/>
      <c r="I366" s="37"/>
      <c r="J366" s="8"/>
      <c r="K366" s="8"/>
      <c r="L366" s="8"/>
      <c r="M366" s="8"/>
      <c r="N366" s="8"/>
      <c r="O366" s="8"/>
      <c r="P366" s="8"/>
      <c r="Q366" s="8"/>
      <c r="R366" s="3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</row>
    <row r="367">
      <c r="A367" s="8"/>
      <c r="B367" s="8"/>
      <c r="C367" s="8"/>
      <c r="D367" s="8"/>
      <c r="E367" s="8"/>
      <c r="F367" s="49"/>
      <c r="G367" s="49"/>
      <c r="H367" s="50"/>
      <c r="I367" s="37"/>
      <c r="J367" s="8"/>
      <c r="K367" s="8"/>
      <c r="L367" s="8"/>
      <c r="M367" s="8"/>
      <c r="N367" s="8"/>
      <c r="O367" s="8"/>
      <c r="P367" s="8"/>
      <c r="Q367" s="8"/>
      <c r="R367" s="3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</row>
    <row r="368">
      <c r="A368" s="8"/>
      <c r="B368" s="8"/>
      <c r="C368" s="8"/>
      <c r="D368" s="8"/>
      <c r="E368" s="8"/>
      <c r="F368" s="49"/>
      <c r="G368" s="49"/>
      <c r="H368" s="50"/>
      <c r="I368" s="37"/>
      <c r="J368" s="8"/>
      <c r="K368" s="8"/>
      <c r="L368" s="8"/>
      <c r="M368" s="8"/>
      <c r="N368" s="8"/>
      <c r="O368" s="8"/>
      <c r="P368" s="8"/>
      <c r="Q368" s="8"/>
      <c r="R368" s="3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</row>
    <row r="369">
      <c r="A369" s="8"/>
      <c r="B369" s="8"/>
      <c r="C369" s="8"/>
      <c r="D369" s="8"/>
      <c r="E369" s="8"/>
      <c r="F369" s="49"/>
      <c r="G369" s="49"/>
      <c r="H369" s="50"/>
      <c r="I369" s="37"/>
      <c r="J369" s="8"/>
      <c r="K369" s="8"/>
      <c r="L369" s="8"/>
      <c r="M369" s="8"/>
      <c r="N369" s="8"/>
      <c r="O369" s="8"/>
      <c r="P369" s="8"/>
      <c r="Q369" s="8"/>
      <c r="R369" s="3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</row>
    <row r="370">
      <c r="A370" s="8"/>
      <c r="B370" s="8"/>
      <c r="C370" s="8"/>
      <c r="D370" s="8"/>
      <c r="E370" s="8"/>
      <c r="F370" s="49"/>
      <c r="G370" s="49"/>
      <c r="H370" s="50"/>
      <c r="I370" s="37"/>
      <c r="J370" s="8"/>
      <c r="K370" s="8"/>
      <c r="L370" s="8"/>
      <c r="M370" s="8"/>
      <c r="N370" s="8"/>
      <c r="O370" s="8"/>
      <c r="P370" s="8"/>
      <c r="Q370" s="8"/>
      <c r="R370" s="3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</row>
    <row r="371">
      <c r="A371" s="8"/>
      <c r="B371" s="8"/>
      <c r="C371" s="8"/>
      <c r="D371" s="8"/>
      <c r="E371" s="8"/>
      <c r="F371" s="49"/>
      <c r="G371" s="49"/>
      <c r="H371" s="50"/>
      <c r="I371" s="37"/>
      <c r="J371" s="8"/>
      <c r="K371" s="8"/>
      <c r="L371" s="8"/>
      <c r="M371" s="8"/>
      <c r="N371" s="8"/>
      <c r="O371" s="8"/>
      <c r="P371" s="8"/>
      <c r="Q371" s="8"/>
      <c r="R371" s="3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</row>
    <row r="372">
      <c r="A372" s="8"/>
      <c r="B372" s="8"/>
      <c r="C372" s="8"/>
      <c r="D372" s="8"/>
      <c r="E372" s="8"/>
      <c r="F372" s="49"/>
      <c r="G372" s="49"/>
      <c r="H372" s="50"/>
      <c r="I372" s="37"/>
      <c r="J372" s="8"/>
      <c r="K372" s="8"/>
      <c r="L372" s="8"/>
      <c r="M372" s="8"/>
      <c r="N372" s="8"/>
      <c r="O372" s="8"/>
      <c r="P372" s="8"/>
      <c r="Q372" s="8"/>
      <c r="R372" s="3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</row>
    <row r="373">
      <c r="A373" s="8"/>
      <c r="B373" s="8"/>
      <c r="C373" s="8"/>
      <c r="D373" s="8"/>
      <c r="E373" s="8"/>
      <c r="F373" s="49"/>
      <c r="G373" s="49"/>
      <c r="H373" s="50"/>
      <c r="I373" s="37"/>
      <c r="J373" s="8"/>
      <c r="K373" s="8"/>
      <c r="L373" s="8"/>
      <c r="M373" s="8"/>
      <c r="N373" s="8"/>
      <c r="O373" s="8"/>
      <c r="P373" s="8"/>
      <c r="Q373" s="8"/>
      <c r="R373" s="3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</row>
    <row r="374">
      <c r="A374" s="8"/>
      <c r="B374" s="8"/>
      <c r="C374" s="8"/>
      <c r="D374" s="8"/>
      <c r="E374" s="8"/>
      <c r="F374" s="49"/>
      <c r="G374" s="49"/>
      <c r="H374" s="50"/>
      <c r="I374" s="37"/>
      <c r="J374" s="8"/>
      <c r="K374" s="8"/>
      <c r="L374" s="8"/>
      <c r="M374" s="8"/>
      <c r="N374" s="8"/>
      <c r="O374" s="8"/>
      <c r="P374" s="8"/>
      <c r="Q374" s="8"/>
      <c r="R374" s="3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</row>
    <row r="375">
      <c r="A375" s="8"/>
      <c r="B375" s="8"/>
      <c r="C375" s="8"/>
      <c r="D375" s="8"/>
      <c r="E375" s="8"/>
      <c r="F375" s="49"/>
      <c r="G375" s="49"/>
      <c r="H375" s="50"/>
      <c r="I375" s="37"/>
      <c r="J375" s="8"/>
      <c r="K375" s="8"/>
      <c r="L375" s="8"/>
      <c r="M375" s="8"/>
      <c r="N375" s="8"/>
      <c r="O375" s="8"/>
      <c r="P375" s="8"/>
      <c r="Q375" s="8"/>
      <c r="R375" s="3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</row>
    <row r="376">
      <c r="A376" s="8"/>
      <c r="B376" s="8"/>
      <c r="C376" s="8"/>
      <c r="D376" s="8"/>
      <c r="E376" s="8"/>
      <c r="F376" s="49"/>
      <c r="G376" s="49"/>
      <c r="H376" s="50"/>
      <c r="I376" s="37"/>
      <c r="J376" s="8"/>
      <c r="K376" s="8"/>
      <c r="L376" s="8"/>
      <c r="M376" s="8"/>
      <c r="N376" s="8"/>
      <c r="O376" s="8"/>
      <c r="P376" s="8"/>
      <c r="Q376" s="8"/>
      <c r="R376" s="3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</row>
    <row r="377">
      <c r="A377" s="8"/>
      <c r="B377" s="8"/>
      <c r="C377" s="8"/>
      <c r="D377" s="8"/>
      <c r="E377" s="8"/>
      <c r="F377" s="49"/>
      <c r="G377" s="49"/>
      <c r="H377" s="50"/>
      <c r="I377" s="37"/>
      <c r="J377" s="8"/>
      <c r="K377" s="8"/>
      <c r="L377" s="8"/>
      <c r="M377" s="8"/>
      <c r="N377" s="8"/>
      <c r="O377" s="8"/>
      <c r="P377" s="8"/>
      <c r="Q377" s="8"/>
      <c r="R377" s="3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</row>
    <row r="378">
      <c r="A378" s="8"/>
      <c r="B378" s="8"/>
      <c r="C378" s="8"/>
      <c r="D378" s="8"/>
      <c r="E378" s="8"/>
      <c r="F378" s="49"/>
      <c r="G378" s="49"/>
      <c r="H378" s="50"/>
      <c r="I378" s="37"/>
      <c r="J378" s="8"/>
      <c r="K378" s="8"/>
      <c r="L378" s="8"/>
      <c r="M378" s="8"/>
      <c r="N378" s="8"/>
      <c r="O378" s="8"/>
      <c r="P378" s="8"/>
      <c r="Q378" s="8"/>
      <c r="R378" s="3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</row>
    <row r="379">
      <c r="A379" s="8"/>
      <c r="B379" s="8"/>
      <c r="C379" s="8"/>
      <c r="D379" s="8"/>
      <c r="E379" s="8"/>
      <c r="F379" s="49"/>
      <c r="G379" s="49"/>
      <c r="H379" s="50"/>
      <c r="I379" s="37"/>
      <c r="J379" s="8"/>
      <c r="K379" s="8"/>
      <c r="L379" s="8"/>
      <c r="M379" s="8"/>
      <c r="N379" s="8"/>
      <c r="O379" s="8"/>
      <c r="P379" s="8"/>
      <c r="Q379" s="8"/>
      <c r="R379" s="3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</row>
    <row r="380">
      <c r="A380" s="8"/>
      <c r="B380" s="8"/>
      <c r="C380" s="8"/>
      <c r="D380" s="8"/>
      <c r="E380" s="8"/>
      <c r="F380" s="49"/>
      <c r="G380" s="49"/>
      <c r="H380" s="50"/>
      <c r="I380" s="37"/>
      <c r="J380" s="8"/>
      <c r="K380" s="8"/>
      <c r="L380" s="8"/>
      <c r="M380" s="8"/>
      <c r="N380" s="8"/>
      <c r="O380" s="8"/>
      <c r="P380" s="8"/>
      <c r="Q380" s="8"/>
      <c r="R380" s="3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</row>
    <row r="381">
      <c r="A381" s="8"/>
      <c r="B381" s="8"/>
      <c r="C381" s="8"/>
      <c r="D381" s="8"/>
      <c r="E381" s="8"/>
      <c r="F381" s="49"/>
      <c r="G381" s="49"/>
      <c r="H381" s="50"/>
      <c r="I381" s="37"/>
      <c r="J381" s="8"/>
      <c r="K381" s="8"/>
      <c r="L381" s="8"/>
      <c r="M381" s="8"/>
      <c r="N381" s="8"/>
      <c r="O381" s="8"/>
      <c r="P381" s="8"/>
      <c r="Q381" s="8"/>
      <c r="R381" s="3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</row>
    <row r="382">
      <c r="A382" s="8"/>
      <c r="B382" s="8"/>
      <c r="C382" s="8"/>
      <c r="D382" s="8"/>
      <c r="E382" s="8"/>
      <c r="F382" s="49"/>
      <c r="G382" s="49"/>
      <c r="H382" s="50"/>
      <c r="I382" s="37"/>
      <c r="J382" s="8"/>
      <c r="K382" s="8"/>
      <c r="L382" s="8"/>
      <c r="M382" s="8"/>
      <c r="N382" s="8"/>
      <c r="O382" s="8"/>
      <c r="P382" s="8"/>
      <c r="Q382" s="8"/>
      <c r="R382" s="3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</row>
    <row r="383">
      <c r="A383" s="8"/>
      <c r="B383" s="8"/>
      <c r="C383" s="8"/>
      <c r="D383" s="8"/>
      <c r="E383" s="8"/>
      <c r="F383" s="49"/>
      <c r="G383" s="49"/>
      <c r="H383" s="50"/>
      <c r="I383" s="37"/>
      <c r="J383" s="8"/>
      <c r="K383" s="8"/>
      <c r="L383" s="8"/>
      <c r="M383" s="8"/>
      <c r="N383" s="8"/>
      <c r="O383" s="8"/>
      <c r="P383" s="8"/>
      <c r="Q383" s="8"/>
      <c r="R383" s="3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</row>
    <row r="384">
      <c r="A384" s="9"/>
      <c r="B384" s="9"/>
      <c r="C384" s="9"/>
      <c r="D384" s="9"/>
      <c r="E384" s="9"/>
      <c r="F384" s="9"/>
      <c r="G384" s="9"/>
      <c r="H384" s="9"/>
      <c r="I384" s="37"/>
      <c r="J384" s="8"/>
      <c r="K384" s="8"/>
      <c r="L384" s="8"/>
      <c r="M384" s="8"/>
      <c r="N384" s="8"/>
      <c r="O384" s="8"/>
      <c r="P384" s="8"/>
      <c r="Q384" s="8"/>
      <c r="R384" s="3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</row>
    <row r="385">
      <c r="A385" s="9"/>
      <c r="B385" s="9"/>
      <c r="C385" s="9"/>
      <c r="D385" s="9"/>
      <c r="E385" s="9"/>
      <c r="F385" s="9"/>
      <c r="G385" s="9"/>
      <c r="H385" s="9"/>
      <c r="I385" s="37"/>
      <c r="J385" s="8"/>
      <c r="K385" s="8"/>
      <c r="L385" s="8"/>
      <c r="M385" s="8"/>
      <c r="N385" s="8"/>
      <c r="O385" s="8"/>
      <c r="P385" s="8"/>
      <c r="Q385" s="8"/>
      <c r="R385" s="3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</row>
    <row r="386">
      <c r="A386" s="9"/>
      <c r="B386" s="9"/>
      <c r="C386" s="9"/>
      <c r="D386" s="9"/>
      <c r="E386" s="9"/>
      <c r="F386" s="9"/>
      <c r="G386" s="9"/>
      <c r="H386" s="9"/>
      <c r="I386" s="37"/>
      <c r="J386" s="8"/>
      <c r="K386" s="8"/>
      <c r="L386" s="8"/>
      <c r="M386" s="8"/>
      <c r="N386" s="8"/>
      <c r="O386" s="8"/>
      <c r="P386" s="8"/>
      <c r="Q386" s="8"/>
      <c r="R386" s="3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</row>
    <row r="387">
      <c r="A387" s="9"/>
      <c r="B387" s="9"/>
      <c r="C387" s="9"/>
      <c r="D387" s="9"/>
      <c r="E387" s="9"/>
      <c r="F387" s="9"/>
      <c r="G387" s="9"/>
      <c r="H387" s="9"/>
      <c r="I387" s="37"/>
      <c r="J387" s="8"/>
      <c r="K387" s="8"/>
      <c r="L387" s="8"/>
      <c r="M387" s="8"/>
      <c r="N387" s="8"/>
      <c r="O387" s="8"/>
      <c r="P387" s="8"/>
      <c r="Q387" s="8"/>
      <c r="R387" s="3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1.63"/>
  </cols>
  <sheetData>
    <row r="1">
      <c r="A1" s="51" t="s">
        <v>0</v>
      </c>
      <c r="B1" s="52" t="s">
        <v>1</v>
      </c>
      <c r="C1" s="52" t="s">
        <v>2</v>
      </c>
      <c r="D1" s="52" t="s">
        <v>27</v>
      </c>
      <c r="E1" s="52" t="s">
        <v>4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28</v>
      </c>
      <c r="B2" s="55" t="s">
        <v>29</v>
      </c>
      <c r="C2" s="56">
        <v>1000.0</v>
      </c>
      <c r="D2" s="57"/>
      <c r="E2" s="58" t="s">
        <v>15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9" t="s">
        <v>30</v>
      </c>
      <c r="B3" s="60" t="s">
        <v>29</v>
      </c>
      <c r="C3" s="61">
        <v>1000.0</v>
      </c>
      <c r="D3" s="62"/>
      <c r="E3" s="63" t="s">
        <v>15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9" t="s">
        <v>31</v>
      </c>
      <c r="B4" s="60" t="s">
        <v>29</v>
      </c>
      <c r="C4" s="61">
        <v>1000.0</v>
      </c>
      <c r="D4" s="62"/>
      <c r="E4" s="63" t="s">
        <v>15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9" t="s">
        <v>32</v>
      </c>
      <c r="B5" s="61" t="s">
        <v>33</v>
      </c>
      <c r="C5" s="64">
        <v>250.0</v>
      </c>
      <c r="D5" s="62"/>
      <c r="E5" s="63" t="s">
        <v>8</v>
      </c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59" t="s">
        <v>34</v>
      </c>
      <c r="B6" s="61" t="s">
        <v>33</v>
      </c>
      <c r="C6" s="64">
        <v>500.0</v>
      </c>
      <c r="D6" s="62"/>
      <c r="E6" s="63" t="s">
        <v>8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59" t="s">
        <v>35</v>
      </c>
      <c r="B7" s="61" t="s">
        <v>33</v>
      </c>
      <c r="C7" s="64">
        <v>450.0</v>
      </c>
      <c r="D7" s="62"/>
      <c r="E7" s="63" t="s">
        <v>8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9" t="s">
        <v>36</v>
      </c>
      <c r="B8" s="60" t="s">
        <v>29</v>
      </c>
      <c r="C8" s="64">
        <v>400.0</v>
      </c>
      <c r="D8" s="62"/>
      <c r="E8" s="63" t="s">
        <v>15</v>
      </c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9" t="s">
        <v>37</v>
      </c>
      <c r="B9" s="61" t="s">
        <v>38</v>
      </c>
      <c r="C9" s="62"/>
      <c r="D9" s="62"/>
      <c r="E9" s="63" t="s">
        <v>8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9" t="s">
        <v>39</v>
      </c>
      <c r="B10" s="61" t="s">
        <v>33</v>
      </c>
      <c r="C10" s="62"/>
      <c r="D10" s="62"/>
      <c r="E10" s="63" t="s">
        <v>8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9" t="s">
        <v>40</v>
      </c>
      <c r="B11" s="61" t="s">
        <v>33</v>
      </c>
      <c r="C11" s="62"/>
      <c r="D11" s="62"/>
      <c r="E11" s="63" t="s">
        <v>8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9" t="s">
        <v>41</v>
      </c>
      <c r="B12" s="61" t="s">
        <v>33</v>
      </c>
      <c r="C12" s="62"/>
      <c r="D12" s="62"/>
      <c r="E12" s="63" t="s">
        <v>8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9" t="s">
        <v>42</v>
      </c>
      <c r="B13" s="61" t="s">
        <v>33</v>
      </c>
      <c r="C13" s="62"/>
      <c r="D13" s="62"/>
      <c r="E13" s="63" t="s">
        <v>8</v>
      </c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9" t="s">
        <v>43</v>
      </c>
      <c r="B14" s="61" t="s">
        <v>33</v>
      </c>
      <c r="C14" s="62"/>
      <c r="D14" s="62"/>
      <c r="E14" s="63" t="s">
        <v>8</v>
      </c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9" t="s">
        <v>44</v>
      </c>
      <c r="B15" s="61" t="s">
        <v>33</v>
      </c>
      <c r="C15" s="62"/>
      <c r="D15" s="62"/>
      <c r="E15" s="63" t="s">
        <v>15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9" t="s">
        <v>45</v>
      </c>
      <c r="B16" s="61" t="s">
        <v>46</v>
      </c>
      <c r="C16" s="65">
        <v>1000.0</v>
      </c>
      <c r="D16" s="62"/>
      <c r="E16" s="63" t="s">
        <v>15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9" t="s">
        <v>47</v>
      </c>
      <c r="B17" s="61" t="s">
        <v>46</v>
      </c>
      <c r="C17" s="61">
        <v>1000.0</v>
      </c>
      <c r="D17" s="62"/>
      <c r="E17" s="63" t="s">
        <v>15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9" t="s">
        <v>48</v>
      </c>
      <c r="B18" s="61" t="s">
        <v>46</v>
      </c>
      <c r="C18" s="61">
        <v>1000.0</v>
      </c>
      <c r="D18" s="62"/>
      <c r="E18" s="63" t="s">
        <v>15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9" t="s">
        <v>49</v>
      </c>
      <c r="B19" s="61" t="s">
        <v>50</v>
      </c>
      <c r="C19" s="62"/>
      <c r="D19" s="62"/>
      <c r="E19" s="63" t="s">
        <v>15</v>
      </c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9" t="s">
        <v>13</v>
      </c>
      <c r="B20" s="61" t="s">
        <v>38</v>
      </c>
      <c r="C20" s="62"/>
      <c r="D20" s="62"/>
      <c r="E20" s="63" t="s">
        <v>8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9" t="s">
        <v>51</v>
      </c>
      <c r="B21" s="61" t="s">
        <v>33</v>
      </c>
      <c r="C21" s="62"/>
      <c r="D21" s="62"/>
      <c r="E21" s="63" t="s">
        <v>8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9" t="s">
        <v>52</v>
      </c>
      <c r="B22" s="61" t="s">
        <v>46</v>
      </c>
      <c r="C22" s="61">
        <v>1000.0</v>
      </c>
      <c r="D22" s="62"/>
      <c r="E22" s="63" t="s">
        <v>15</v>
      </c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9" t="s">
        <v>53</v>
      </c>
      <c r="B23" s="61" t="s">
        <v>46</v>
      </c>
      <c r="C23" s="62"/>
      <c r="D23" s="62"/>
      <c r="E23" s="63" t="s">
        <v>8</v>
      </c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9" t="s">
        <v>54</v>
      </c>
      <c r="B24" s="61" t="s">
        <v>33</v>
      </c>
      <c r="C24" s="62"/>
      <c r="D24" s="62"/>
      <c r="E24" s="63" t="s">
        <v>8</v>
      </c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9" t="s">
        <v>55</v>
      </c>
      <c r="B25" s="61" t="s">
        <v>33</v>
      </c>
      <c r="C25" s="62"/>
      <c r="D25" s="62"/>
      <c r="E25" s="63" t="s">
        <v>8</v>
      </c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9" t="s">
        <v>56</v>
      </c>
      <c r="B26" s="61" t="s">
        <v>46</v>
      </c>
      <c r="C26" s="61">
        <v>1000.0</v>
      </c>
      <c r="D26" s="62"/>
      <c r="E26" s="63" t="s">
        <v>15</v>
      </c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9" t="s">
        <v>57</v>
      </c>
      <c r="B27" s="61" t="s">
        <v>33</v>
      </c>
      <c r="C27" s="62">
        <v>500.0</v>
      </c>
      <c r="D27" s="62"/>
      <c r="E27" s="63" t="s">
        <v>8</v>
      </c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66" t="s">
        <v>58</v>
      </c>
      <c r="B28" s="62"/>
      <c r="C28" s="62" t="s">
        <v>59</v>
      </c>
      <c r="D28" s="62"/>
      <c r="E28" s="67" t="s">
        <v>15</v>
      </c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9" t="s">
        <v>11</v>
      </c>
      <c r="B29" s="61" t="s">
        <v>46</v>
      </c>
      <c r="C29" s="62" t="s">
        <v>60</v>
      </c>
      <c r="D29" s="62"/>
      <c r="E29" s="63" t="s">
        <v>8</v>
      </c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9" t="s">
        <v>61</v>
      </c>
      <c r="B30" s="61" t="s">
        <v>38</v>
      </c>
      <c r="C30" s="62">
        <v>70.0</v>
      </c>
      <c r="D30" s="62"/>
      <c r="E30" s="63" t="s">
        <v>8</v>
      </c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9" t="s">
        <v>62</v>
      </c>
      <c r="B31" s="61" t="s">
        <v>46</v>
      </c>
      <c r="C31" s="62" t="s">
        <v>63</v>
      </c>
      <c r="D31" s="62"/>
      <c r="E31" s="63" t="s">
        <v>15</v>
      </c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9" t="s">
        <v>64</v>
      </c>
      <c r="B32" s="61" t="s">
        <v>46</v>
      </c>
      <c r="C32" s="61">
        <v>1000.0</v>
      </c>
      <c r="D32" s="62"/>
      <c r="E32" s="63" t="s">
        <v>15</v>
      </c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9" t="s">
        <v>65</v>
      </c>
      <c r="B33" s="61" t="s">
        <v>46</v>
      </c>
      <c r="C33" s="62" t="s">
        <v>66</v>
      </c>
      <c r="D33" s="62"/>
      <c r="E33" s="63" t="s">
        <v>8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9" t="s">
        <v>67</v>
      </c>
      <c r="B34" s="61" t="s">
        <v>33</v>
      </c>
      <c r="C34" s="62">
        <v>450.0</v>
      </c>
      <c r="D34" s="62"/>
      <c r="E34" s="63" t="s">
        <v>8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9" t="s">
        <v>68</v>
      </c>
      <c r="B35" s="61" t="s">
        <v>46</v>
      </c>
      <c r="C35" s="61">
        <v>1000.0</v>
      </c>
      <c r="D35" s="62"/>
      <c r="E35" s="63" t="s">
        <v>15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9" t="s">
        <v>69</v>
      </c>
      <c r="B36" s="61" t="s">
        <v>33</v>
      </c>
      <c r="C36" s="62"/>
      <c r="D36" s="62"/>
      <c r="E36" s="63" t="s">
        <v>15</v>
      </c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9" t="s">
        <v>70</v>
      </c>
      <c r="B37" s="61" t="s">
        <v>33</v>
      </c>
      <c r="C37" s="62"/>
      <c r="D37" s="62"/>
      <c r="E37" s="63" t="s">
        <v>8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9" t="s">
        <v>71</v>
      </c>
      <c r="B38" s="61" t="s">
        <v>33</v>
      </c>
      <c r="C38" s="62"/>
      <c r="D38" s="62"/>
      <c r="E38" s="63" t="s">
        <v>8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9" t="s">
        <v>72</v>
      </c>
      <c r="B39" s="61" t="s">
        <v>46</v>
      </c>
      <c r="C39" s="61">
        <v>1000.0</v>
      </c>
      <c r="D39" s="62"/>
      <c r="E39" s="63" t="s">
        <v>15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9" t="s">
        <v>73</v>
      </c>
      <c r="B40" s="61" t="s">
        <v>33</v>
      </c>
      <c r="C40" s="62"/>
      <c r="D40" s="62"/>
      <c r="E40" s="63" t="s">
        <v>8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9" t="s">
        <v>74</v>
      </c>
      <c r="B41" s="61" t="s">
        <v>33</v>
      </c>
      <c r="C41" s="62"/>
      <c r="D41" s="62"/>
      <c r="E41" s="63" t="s">
        <v>8</v>
      </c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66" t="s">
        <v>75</v>
      </c>
      <c r="B42" s="68" t="s">
        <v>46</v>
      </c>
      <c r="C42" s="69">
        <v>500.0</v>
      </c>
      <c r="D42" s="62"/>
      <c r="E42" s="67" t="s">
        <v>15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9" t="s">
        <v>76</v>
      </c>
      <c r="B43" s="61" t="s">
        <v>33</v>
      </c>
      <c r="C43" s="62"/>
      <c r="D43" s="62"/>
      <c r="E43" s="63" t="s">
        <v>8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9" t="s">
        <v>9</v>
      </c>
      <c r="B44" s="61" t="s">
        <v>46</v>
      </c>
      <c r="C44" s="61">
        <v>1000.0</v>
      </c>
      <c r="D44" s="62"/>
      <c r="E44" s="63" t="s">
        <v>8</v>
      </c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9" t="s">
        <v>77</v>
      </c>
      <c r="B45" s="61" t="s">
        <v>46</v>
      </c>
      <c r="C45" s="62"/>
      <c r="D45" s="62"/>
      <c r="E45" s="63" t="s">
        <v>8</v>
      </c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9" t="s">
        <v>78</v>
      </c>
      <c r="B46" s="61" t="s">
        <v>46</v>
      </c>
      <c r="C46" s="62"/>
      <c r="D46" s="62"/>
      <c r="E46" s="63" t="s">
        <v>15</v>
      </c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9" t="s">
        <v>10</v>
      </c>
      <c r="B47" s="61" t="s">
        <v>38</v>
      </c>
      <c r="C47" s="62"/>
      <c r="D47" s="62"/>
      <c r="E47" s="63" t="s">
        <v>8</v>
      </c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9" t="s">
        <v>79</v>
      </c>
      <c r="B48" s="61" t="s">
        <v>33</v>
      </c>
      <c r="C48" s="62"/>
      <c r="D48" s="62"/>
      <c r="E48" s="63" t="s">
        <v>15</v>
      </c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9" t="s">
        <v>80</v>
      </c>
      <c r="B49" s="61" t="s">
        <v>33</v>
      </c>
      <c r="C49" s="62"/>
      <c r="D49" s="62"/>
      <c r="E49" s="63" t="s">
        <v>8</v>
      </c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9" t="s">
        <v>16</v>
      </c>
      <c r="B50" s="61" t="s">
        <v>33</v>
      </c>
      <c r="C50" s="62"/>
      <c r="D50" s="62"/>
      <c r="E50" s="63" t="s">
        <v>8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9" t="s">
        <v>81</v>
      </c>
      <c r="B51" s="61" t="s">
        <v>33</v>
      </c>
      <c r="C51" s="62"/>
      <c r="D51" s="62"/>
      <c r="E51" s="63" t="s">
        <v>8</v>
      </c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9" t="s">
        <v>82</v>
      </c>
      <c r="B52" s="61" t="s">
        <v>46</v>
      </c>
      <c r="C52" s="62"/>
      <c r="D52" s="62"/>
      <c r="E52" s="63" t="s">
        <v>15</v>
      </c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9" t="s">
        <v>83</v>
      </c>
      <c r="B53" s="62" t="s">
        <v>38</v>
      </c>
      <c r="C53" s="62"/>
      <c r="D53" s="62"/>
      <c r="E53" s="63" t="s">
        <v>8</v>
      </c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9" t="s">
        <v>84</v>
      </c>
      <c r="B54" s="61" t="s">
        <v>18</v>
      </c>
      <c r="C54" s="62"/>
      <c r="D54" s="62"/>
      <c r="E54" s="63" t="s">
        <v>15</v>
      </c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9" t="s">
        <v>85</v>
      </c>
      <c r="B55" s="61" t="s">
        <v>46</v>
      </c>
      <c r="C55" s="62"/>
      <c r="D55" s="62"/>
      <c r="E55" s="63" t="s">
        <v>8</v>
      </c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9" t="s">
        <v>86</v>
      </c>
      <c r="B56" s="61" t="s">
        <v>38</v>
      </c>
      <c r="C56" s="62"/>
      <c r="D56" s="62"/>
      <c r="E56" s="63" t="s">
        <v>8</v>
      </c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9" t="s">
        <v>14</v>
      </c>
      <c r="B57" s="61" t="s">
        <v>87</v>
      </c>
      <c r="C57" s="62"/>
      <c r="D57" s="62"/>
      <c r="E57" s="63" t="s">
        <v>15</v>
      </c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9" t="s">
        <v>12</v>
      </c>
      <c r="B58" s="61" t="s">
        <v>18</v>
      </c>
      <c r="C58" s="62"/>
      <c r="D58" s="62"/>
      <c r="E58" s="63" t="s">
        <v>8</v>
      </c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9" t="s">
        <v>88</v>
      </c>
      <c r="B59" s="61" t="s">
        <v>18</v>
      </c>
      <c r="C59" s="62"/>
      <c r="D59" s="62"/>
      <c r="E59" s="63" t="s">
        <v>8</v>
      </c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9" t="s">
        <v>89</v>
      </c>
      <c r="B60" s="61" t="s">
        <v>18</v>
      </c>
      <c r="C60" s="62"/>
      <c r="D60" s="62"/>
      <c r="E60" s="63" t="s">
        <v>8</v>
      </c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9" t="s">
        <v>90</v>
      </c>
      <c r="B61" s="61" t="s">
        <v>18</v>
      </c>
      <c r="C61" s="62"/>
      <c r="D61" s="62"/>
      <c r="E61" s="63" t="s">
        <v>15</v>
      </c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9" t="s">
        <v>91</v>
      </c>
      <c r="B62" s="61" t="s">
        <v>46</v>
      </c>
      <c r="C62" s="61">
        <v>1000.0</v>
      </c>
      <c r="D62" s="62"/>
      <c r="E62" s="63" t="s">
        <v>15</v>
      </c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9" t="s">
        <v>92</v>
      </c>
      <c r="B63" s="61" t="s">
        <v>33</v>
      </c>
      <c r="C63" s="61">
        <v>900.0</v>
      </c>
      <c r="D63" s="62"/>
      <c r="E63" s="63" t="s">
        <v>15</v>
      </c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70" t="s">
        <v>7</v>
      </c>
      <c r="B64" s="62" t="s">
        <v>20</v>
      </c>
      <c r="C64" s="61">
        <v>5000.0</v>
      </c>
      <c r="D64" s="62"/>
      <c r="E64" s="71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</sheetData>
  <dataValidations>
    <dataValidation type="list" allowBlank="1" showErrorMessage="1" sqref="E2:E63">
      <formula1>"Долгосрочный,Краткосрочный"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5"/>
    <col customWidth="1" min="2" max="2" width="15.88"/>
    <col customWidth="1" min="4" max="4" width="15.13"/>
    <col customWidth="1" min="6" max="6" width="15.38"/>
    <col customWidth="1" min="8" max="8" width="17.63"/>
    <col customWidth="1" min="10" max="10" width="15.5"/>
    <col customWidth="1" min="16" max="16" width="16.38"/>
  </cols>
  <sheetData>
    <row r="1">
      <c r="A1" s="72" t="s">
        <v>93</v>
      </c>
      <c r="B1" s="73" t="s">
        <v>94</v>
      </c>
      <c r="C1" s="74" t="s">
        <v>95</v>
      </c>
      <c r="D1" s="73" t="s">
        <v>94</v>
      </c>
      <c r="E1" s="74" t="s">
        <v>95</v>
      </c>
      <c r="F1" s="73" t="s">
        <v>94</v>
      </c>
      <c r="G1" s="74" t="s">
        <v>95</v>
      </c>
      <c r="H1" s="73" t="s">
        <v>94</v>
      </c>
      <c r="I1" s="74" t="s">
        <v>95</v>
      </c>
      <c r="J1" s="73" t="s">
        <v>94</v>
      </c>
      <c r="K1" s="74" t="s">
        <v>95</v>
      </c>
      <c r="L1" s="73" t="s">
        <v>94</v>
      </c>
      <c r="M1" s="74" t="s">
        <v>95</v>
      </c>
      <c r="N1" s="73" t="s">
        <v>94</v>
      </c>
      <c r="O1" s="74" t="s">
        <v>95</v>
      </c>
      <c r="P1" s="73" t="s">
        <v>94</v>
      </c>
      <c r="Q1" s="74" t="s">
        <v>95</v>
      </c>
      <c r="R1" s="73" t="s">
        <v>94</v>
      </c>
      <c r="S1" s="74" t="s">
        <v>95</v>
      </c>
      <c r="T1" s="75" t="s">
        <v>96</v>
      </c>
    </row>
    <row r="2">
      <c r="A2" s="76" t="s">
        <v>97</v>
      </c>
      <c r="B2" s="77" t="s">
        <v>67</v>
      </c>
      <c r="C2" s="78">
        <v>115.0</v>
      </c>
      <c r="D2" s="77" t="s">
        <v>41</v>
      </c>
      <c r="E2" s="78">
        <v>45.0</v>
      </c>
      <c r="F2" s="77" t="s">
        <v>62</v>
      </c>
      <c r="G2" s="78">
        <v>20.0</v>
      </c>
      <c r="H2" s="79"/>
      <c r="I2" s="80"/>
      <c r="J2" s="79"/>
      <c r="K2" s="80"/>
      <c r="L2" s="79"/>
      <c r="M2" s="80"/>
      <c r="N2" s="79"/>
      <c r="O2" s="80"/>
      <c r="P2" s="79"/>
      <c r="Q2" s="81"/>
      <c r="R2" s="79"/>
      <c r="S2" s="81"/>
      <c r="T2" s="82">
        <f t="shared" ref="T2:T19" si="1">SUM(C2+E2+G2+I2+K2+M2+O2)</f>
        <v>180</v>
      </c>
    </row>
    <row r="3">
      <c r="A3" s="76" t="s">
        <v>98</v>
      </c>
      <c r="B3" s="77" t="s">
        <v>67</v>
      </c>
      <c r="C3" s="78">
        <v>115.0</v>
      </c>
      <c r="D3" s="77" t="s">
        <v>77</v>
      </c>
      <c r="E3" s="78">
        <v>45.0</v>
      </c>
      <c r="F3" s="77" t="s">
        <v>62</v>
      </c>
      <c r="G3" s="78">
        <v>20.0</v>
      </c>
      <c r="H3" s="79"/>
      <c r="I3" s="80"/>
      <c r="J3" s="79"/>
      <c r="K3" s="80"/>
      <c r="L3" s="79"/>
      <c r="M3" s="80"/>
      <c r="N3" s="79"/>
      <c r="O3" s="80"/>
      <c r="P3" s="79"/>
      <c r="Q3" s="81"/>
      <c r="R3" s="79"/>
      <c r="S3" s="81"/>
      <c r="T3" s="82">
        <f t="shared" si="1"/>
        <v>180</v>
      </c>
    </row>
    <row r="4">
      <c r="A4" s="83" t="s">
        <v>99</v>
      </c>
      <c r="B4" s="77" t="s">
        <v>30</v>
      </c>
      <c r="C4" s="78">
        <v>110.0</v>
      </c>
      <c r="D4" s="77" t="s">
        <v>65</v>
      </c>
      <c r="E4" s="78">
        <v>22.0</v>
      </c>
      <c r="F4" s="77" t="s">
        <v>9</v>
      </c>
      <c r="G4" s="78">
        <v>22.0</v>
      </c>
      <c r="H4" s="77" t="s">
        <v>62</v>
      </c>
      <c r="I4" s="78">
        <v>22.0</v>
      </c>
      <c r="J4" s="77" t="s">
        <v>92</v>
      </c>
      <c r="K4" s="78">
        <v>2.0</v>
      </c>
      <c r="L4" s="79"/>
      <c r="M4" s="80"/>
      <c r="N4" s="79"/>
      <c r="O4" s="80"/>
      <c r="P4" s="79"/>
      <c r="Q4" s="81"/>
      <c r="R4" s="79"/>
      <c r="S4" s="81"/>
      <c r="T4" s="82">
        <f t="shared" si="1"/>
        <v>178</v>
      </c>
    </row>
    <row r="5">
      <c r="A5" s="83" t="s">
        <v>100</v>
      </c>
      <c r="B5" s="77" t="s">
        <v>76</v>
      </c>
      <c r="C5" s="78">
        <v>115.0</v>
      </c>
      <c r="D5" s="77" t="s">
        <v>77</v>
      </c>
      <c r="E5" s="78">
        <v>45.0</v>
      </c>
      <c r="F5" s="77" t="s">
        <v>62</v>
      </c>
      <c r="G5" s="78">
        <v>20.0</v>
      </c>
      <c r="H5" s="79"/>
      <c r="I5" s="80"/>
      <c r="J5" s="79"/>
      <c r="K5" s="80"/>
      <c r="L5" s="79"/>
      <c r="M5" s="80"/>
      <c r="N5" s="79"/>
      <c r="O5" s="80"/>
      <c r="P5" s="79"/>
      <c r="Q5" s="81"/>
      <c r="R5" s="79"/>
      <c r="S5" s="81"/>
      <c r="T5" s="82">
        <f t="shared" si="1"/>
        <v>180</v>
      </c>
    </row>
    <row r="6">
      <c r="A6" s="83" t="s">
        <v>101</v>
      </c>
      <c r="B6" s="77" t="s">
        <v>14</v>
      </c>
      <c r="C6" s="78">
        <v>25.0</v>
      </c>
      <c r="D6" s="77" t="s">
        <v>71</v>
      </c>
      <c r="E6" s="78">
        <v>18.0</v>
      </c>
      <c r="F6" s="79"/>
      <c r="G6" s="80"/>
      <c r="H6" s="79"/>
      <c r="I6" s="80"/>
      <c r="J6" s="79"/>
      <c r="K6" s="80"/>
      <c r="L6" s="79"/>
      <c r="M6" s="80"/>
      <c r="N6" s="79"/>
      <c r="O6" s="80"/>
      <c r="P6" s="79"/>
      <c r="Q6" s="81"/>
      <c r="R6" s="79"/>
      <c r="S6" s="81"/>
      <c r="T6" s="82">
        <f t="shared" si="1"/>
        <v>43</v>
      </c>
    </row>
    <row r="7">
      <c r="A7" s="83" t="s">
        <v>102</v>
      </c>
      <c r="B7" s="77" t="s">
        <v>14</v>
      </c>
      <c r="C7" s="78">
        <v>25.0</v>
      </c>
      <c r="D7" s="77" t="s">
        <v>71</v>
      </c>
      <c r="E7" s="78">
        <v>18.0</v>
      </c>
      <c r="F7" s="77" t="s">
        <v>68</v>
      </c>
      <c r="G7" s="78">
        <v>30.0</v>
      </c>
      <c r="H7" s="79"/>
      <c r="I7" s="80"/>
      <c r="J7" s="79"/>
      <c r="K7" s="80"/>
      <c r="L7" s="79"/>
      <c r="M7" s="80"/>
      <c r="N7" s="79"/>
      <c r="O7" s="80"/>
      <c r="P7" s="79"/>
      <c r="Q7" s="81"/>
      <c r="R7" s="79"/>
      <c r="S7" s="81"/>
      <c r="T7" s="82">
        <f t="shared" si="1"/>
        <v>73</v>
      </c>
    </row>
    <row r="8">
      <c r="A8" s="83" t="s">
        <v>103</v>
      </c>
      <c r="B8" s="77" t="s">
        <v>14</v>
      </c>
      <c r="C8" s="78">
        <v>25.0</v>
      </c>
      <c r="D8" s="77" t="s">
        <v>71</v>
      </c>
      <c r="E8" s="78">
        <v>18.0</v>
      </c>
      <c r="F8" s="77" t="s">
        <v>72</v>
      </c>
      <c r="G8" s="78">
        <v>30.0</v>
      </c>
      <c r="H8" s="79"/>
      <c r="I8" s="80"/>
      <c r="J8" s="79"/>
      <c r="K8" s="80"/>
      <c r="L8" s="79"/>
      <c r="M8" s="80"/>
      <c r="N8" s="79"/>
      <c r="O8" s="80"/>
      <c r="P8" s="79"/>
      <c r="Q8" s="81"/>
      <c r="R8" s="79"/>
      <c r="S8" s="81"/>
      <c r="T8" s="82">
        <f t="shared" si="1"/>
        <v>73</v>
      </c>
    </row>
    <row r="9">
      <c r="A9" s="83" t="s">
        <v>104</v>
      </c>
      <c r="B9" s="77" t="s">
        <v>48</v>
      </c>
      <c r="C9" s="78">
        <v>135.0</v>
      </c>
      <c r="D9" s="77" t="s">
        <v>65</v>
      </c>
      <c r="E9" s="78">
        <v>13.0</v>
      </c>
      <c r="F9" s="77" t="s">
        <v>92</v>
      </c>
      <c r="G9" s="78">
        <v>1.0</v>
      </c>
      <c r="H9" s="77" t="s">
        <v>56</v>
      </c>
      <c r="I9" s="78">
        <v>25.0</v>
      </c>
      <c r="J9" s="79"/>
      <c r="K9" s="80"/>
      <c r="L9" s="79"/>
      <c r="M9" s="80"/>
      <c r="N9" s="79"/>
      <c r="O9" s="80"/>
      <c r="P9" s="79"/>
      <c r="Q9" s="81"/>
      <c r="R9" s="79"/>
      <c r="S9" s="81"/>
      <c r="T9" s="82">
        <f t="shared" si="1"/>
        <v>174</v>
      </c>
    </row>
    <row r="10">
      <c r="A10" s="83" t="s">
        <v>105</v>
      </c>
      <c r="B10" s="77" t="s">
        <v>14</v>
      </c>
      <c r="C10" s="78">
        <v>50.0</v>
      </c>
      <c r="D10" s="77" t="s">
        <v>62</v>
      </c>
      <c r="E10" s="78">
        <v>30.0</v>
      </c>
      <c r="F10" s="77" t="s">
        <v>92</v>
      </c>
      <c r="G10" s="78">
        <v>1.0</v>
      </c>
      <c r="H10" s="77" t="s">
        <v>9</v>
      </c>
      <c r="I10" s="78">
        <v>5.0</v>
      </c>
      <c r="J10" s="79"/>
      <c r="K10" s="80"/>
      <c r="L10" s="79"/>
      <c r="M10" s="80"/>
      <c r="N10" s="79"/>
      <c r="O10" s="80"/>
      <c r="P10" s="79"/>
      <c r="Q10" s="81"/>
      <c r="R10" s="79"/>
      <c r="S10" s="81"/>
      <c r="T10" s="82">
        <f t="shared" si="1"/>
        <v>86</v>
      </c>
    </row>
    <row r="11">
      <c r="A11" s="83" t="s">
        <v>106</v>
      </c>
      <c r="B11" s="77" t="s">
        <v>92</v>
      </c>
      <c r="C11" s="78">
        <v>3.0</v>
      </c>
      <c r="D11" s="77" t="s">
        <v>79</v>
      </c>
      <c r="E11" s="78">
        <v>90.0</v>
      </c>
      <c r="F11" s="77" t="s">
        <v>72</v>
      </c>
      <c r="G11" s="78">
        <v>45.0</v>
      </c>
      <c r="H11" s="79"/>
      <c r="I11" s="80"/>
      <c r="J11" s="79"/>
      <c r="K11" s="80"/>
      <c r="L11" s="79"/>
      <c r="M11" s="80"/>
      <c r="N11" s="79"/>
      <c r="O11" s="80"/>
      <c r="P11" s="79"/>
      <c r="Q11" s="81"/>
      <c r="R11" s="79"/>
      <c r="S11" s="81"/>
      <c r="T11" s="82">
        <f t="shared" si="1"/>
        <v>138</v>
      </c>
    </row>
    <row r="12">
      <c r="A12" s="76" t="s">
        <v>107</v>
      </c>
      <c r="B12" s="77" t="s">
        <v>52</v>
      </c>
      <c r="C12" s="78">
        <v>60.0</v>
      </c>
      <c r="D12" s="77" t="s">
        <v>56</v>
      </c>
      <c r="E12" s="78">
        <v>30.0</v>
      </c>
      <c r="F12" s="77" t="s">
        <v>35</v>
      </c>
      <c r="G12" s="78">
        <v>50.0</v>
      </c>
      <c r="H12" s="77" t="s">
        <v>48</v>
      </c>
      <c r="I12" s="78">
        <v>80.0</v>
      </c>
      <c r="J12" s="77" t="s">
        <v>43</v>
      </c>
      <c r="K12" s="78">
        <v>5.0</v>
      </c>
      <c r="L12" s="77" t="s">
        <v>64</v>
      </c>
      <c r="M12" s="78">
        <v>30.0</v>
      </c>
      <c r="N12" s="79"/>
      <c r="O12" s="80"/>
      <c r="P12" s="79"/>
      <c r="Q12" s="81"/>
      <c r="R12" s="79"/>
      <c r="S12" s="81"/>
      <c r="T12" s="82">
        <f t="shared" si="1"/>
        <v>255</v>
      </c>
    </row>
    <row r="13">
      <c r="A13" s="83" t="s">
        <v>108</v>
      </c>
      <c r="B13" s="77" t="s">
        <v>37</v>
      </c>
      <c r="C13" s="78">
        <v>50.0</v>
      </c>
      <c r="D13" s="77" t="s">
        <v>32</v>
      </c>
      <c r="E13" s="78">
        <v>10.0</v>
      </c>
      <c r="F13" s="77" t="s">
        <v>47</v>
      </c>
      <c r="G13" s="78">
        <v>50.0</v>
      </c>
      <c r="H13" s="77" t="s">
        <v>64</v>
      </c>
      <c r="I13" s="78">
        <v>30.0</v>
      </c>
      <c r="J13" s="77" t="s">
        <v>48</v>
      </c>
      <c r="K13" s="78">
        <v>50.0</v>
      </c>
      <c r="L13" s="77" t="s">
        <v>56</v>
      </c>
      <c r="M13" s="78">
        <v>30.0</v>
      </c>
      <c r="N13" s="84" t="s">
        <v>83</v>
      </c>
      <c r="O13" s="78">
        <v>10.0</v>
      </c>
      <c r="P13" s="79"/>
      <c r="Q13" s="81"/>
      <c r="R13" s="79"/>
      <c r="S13" s="81"/>
      <c r="T13" s="82">
        <f t="shared" si="1"/>
        <v>230</v>
      </c>
    </row>
    <row r="14">
      <c r="A14" s="83" t="s">
        <v>109</v>
      </c>
      <c r="B14" s="84" t="s">
        <v>83</v>
      </c>
      <c r="C14" s="78">
        <v>30.0</v>
      </c>
      <c r="D14" s="77" t="s">
        <v>37</v>
      </c>
      <c r="E14" s="78">
        <v>50.0</v>
      </c>
      <c r="F14" s="77" t="s">
        <v>56</v>
      </c>
      <c r="G14" s="78">
        <v>30.0</v>
      </c>
      <c r="H14" s="77" t="s">
        <v>64</v>
      </c>
      <c r="I14" s="78">
        <v>30.0</v>
      </c>
      <c r="J14" s="77" t="s">
        <v>86</v>
      </c>
      <c r="K14" s="78">
        <v>40.0</v>
      </c>
      <c r="L14" s="77" t="s">
        <v>48</v>
      </c>
      <c r="M14" s="78">
        <v>50.0</v>
      </c>
      <c r="N14" s="77" t="s">
        <v>43</v>
      </c>
      <c r="O14" s="78">
        <v>2.0</v>
      </c>
      <c r="P14" s="79"/>
      <c r="Q14" s="81"/>
      <c r="R14" s="79"/>
      <c r="S14" s="81"/>
      <c r="T14" s="82">
        <f t="shared" si="1"/>
        <v>232</v>
      </c>
    </row>
    <row r="15">
      <c r="A15" s="83" t="s">
        <v>110</v>
      </c>
      <c r="B15" s="77" t="s">
        <v>40</v>
      </c>
      <c r="C15" s="78">
        <v>60.0</v>
      </c>
      <c r="D15" s="77" t="s">
        <v>71</v>
      </c>
      <c r="E15" s="78">
        <v>20.0</v>
      </c>
      <c r="F15" s="77" t="s">
        <v>64</v>
      </c>
      <c r="G15" s="78">
        <v>40.0</v>
      </c>
      <c r="H15" s="77" t="s">
        <v>48</v>
      </c>
      <c r="I15" s="78">
        <v>50.0</v>
      </c>
      <c r="J15" s="77" t="s">
        <v>56</v>
      </c>
      <c r="K15" s="78">
        <v>30.0</v>
      </c>
      <c r="L15" s="79"/>
      <c r="M15" s="80"/>
      <c r="N15" s="79"/>
      <c r="O15" s="80"/>
      <c r="P15" s="79"/>
      <c r="Q15" s="81"/>
      <c r="R15" s="79"/>
      <c r="S15" s="81"/>
      <c r="T15" s="82">
        <f t="shared" si="1"/>
        <v>200</v>
      </c>
    </row>
    <row r="16">
      <c r="A16" s="83" t="s">
        <v>111</v>
      </c>
      <c r="B16" s="77" t="s">
        <v>71</v>
      </c>
      <c r="C16" s="78">
        <v>30.0</v>
      </c>
      <c r="D16" s="77" t="s">
        <v>69</v>
      </c>
      <c r="E16" s="78">
        <v>30.0</v>
      </c>
      <c r="F16" s="77" t="s">
        <v>48</v>
      </c>
      <c r="G16" s="78">
        <v>70.0</v>
      </c>
      <c r="H16" s="77" t="s">
        <v>56</v>
      </c>
      <c r="I16" s="78">
        <v>30.0</v>
      </c>
      <c r="J16" s="77" t="s">
        <v>64</v>
      </c>
      <c r="K16" s="78">
        <v>40.0</v>
      </c>
      <c r="L16" s="77" t="s">
        <v>43</v>
      </c>
      <c r="M16" s="78">
        <v>5.0</v>
      </c>
      <c r="N16" s="79"/>
      <c r="O16" s="80"/>
      <c r="P16" s="79"/>
      <c r="Q16" s="81"/>
      <c r="R16" s="79"/>
      <c r="S16" s="81"/>
      <c r="T16" s="82">
        <f t="shared" si="1"/>
        <v>205</v>
      </c>
    </row>
    <row r="17">
      <c r="A17" s="76" t="s">
        <v>112</v>
      </c>
      <c r="B17" s="77" t="s">
        <v>57</v>
      </c>
      <c r="C17" s="78">
        <v>95.0</v>
      </c>
      <c r="D17" s="77" t="s">
        <v>37</v>
      </c>
      <c r="E17" s="78">
        <v>70.0</v>
      </c>
      <c r="F17" s="84" t="s">
        <v>83</v>
      </c>
      <c r="G17" s="78">
        <v>30.0</v>
      </c>
      <c r="H17" s="77" t="s">
        <v>56</v>
      </c>
      <c r="I17" s="78">
        <v>25.0</v>
      </c>
      <c r="J17" s="77" t="s">
        <v>64</v>
      </c>
      <c r="K17" s="78">
        <v>30.0</v>
      </c>
      <c r="L17" s="79"/>
      <c r="M17" s="80"/>
      <c r="N17" s="79"/>
      <c r="O17" s="80"/>
      <c r="P17" s="79"/>
      <c r="Q17" s="81"/>
      <c r="R17" s="79"/>
      <c r="S17" s="81"/>
      <c r="T17" s="82">
        <f t="shared" si="1"/>
        <v>250</v>
      </c>
    </row>
    <row r="18">
      <c r="A18" s="83" t="s">
        <v>113</v>
      </c>
      <c r="B18" s="77" t="s">
        <v>39</v>
      </c>
      <c r="C18" s="78">
        <v>120.0</v>
      </c>
      <c r="D18" s="77" t="s">
        <v>37</v>
      </c>
      <c r="E18" s="78">
        <v>70.0</v>
      </c>
      <c r="F18" s="77" t="s">
        <v>56</v>
      </c>
      <c r="G18" s="78">
        <v>30.0</v>
      </c>
      <c r="H18" s="77" t="s">
        <v>64</v>
      </c>
      <c r="I18" s="78">
        <v>30.0</v>
      </c>
      <c r="J18" s="79"/>
      <c r="K18" s="80"/>
      <c r="L18" s="79"/>
      <c r="M18" s="80"/>
      <c r="N18" s="79"/>
      <c r="O18" s="80"/>
      <c r="P18" s="79"/>
      <c r="Q18" s="81"/>
      <c r="R18" s="79"/>
      <c r="S18" s="81"/>
      <c r="T18" s="82">
        <f t="shared" si="1"/>
        <v>250</v>
      </c>
    </row>
    <row r="19">
      <c r="A19" s="83" t="s">
        <v>114</v>
      </c>
      <c r="B19" s="77" t="s">
        <v>76</v>
      </c>
      <c r="C19" s="78">
        <v>85.0</v>
      </c>
      <c r="D19" s="77" t="s">
        <v>52</v>
      </c>
      <c r="E19" s="78">
        <v>85.0</v>
      </c>
      <c r="F19" s="77" t="s">
        <v>64</v>
      </c>
      <c r="G19" s="78">
        <v>40.0</v>
      </c>
      <c r="H19" s="77" t="s">
        <v>56</v>
      </c>
      <c r="I19" s="78">
        <v>35.0</v>
      </c>
      <c r="J19" s="77" t="s">
        <v>73</v>
      </c>
      <c r="K19" s="78">
        <v>1.0</v>
      </c>
      <c r="L19" s="79"/>
      <c r="M19" s="80"/>
      <c r="N19" s="79"/>
      <c r="O19" s="80"/>
      <c r="P19" s="79"/>
      <c r="Q19" s="81"/>
      <c r="R19" s="79"/>
      <c r="S19" s="81"/>
      <c r="T19" s="82">
        <f t="shared" si="1"/>
        <v>246</v>
      </c>
    </row>
    <row r="20">
      <c r="A20" s="76" t="s">
        <v>115</v>
      </c>
      <c r="B20" s="77" t="s">
        <v>28</v>
      </c>
      <c r="C20" s="78">
        <v>25.0</v>
      </c>
      <c r="D20" s="77" t="s">
        <v>48</v>
      </c>
      <c r="E20" s="78">
        <v>95.0</v>
      </c>
      <c r="F20" s="77" t="s">
        <v>64</v>
      </c>
      <c r="G20" s="78">
        <v>20.0</v>
      </c>
      <c r="H20" s="77" t="s">
        <v>56</v>
      </c>
      <c r="I20" s="78">
        <v>15.0</v>
      </c>
      <c r="J20" s="77" t="s">
        <v>45</v>
      </c>
      <c r="K20" s="78">
        <v>45.0</v>
      </c>
      <c r="L20" s="77" t="s">
        <v>72</v>
      </c>
      <c r="M20" s="78">
        <v>25.0</v>
      </c>
      <c r="N20" s="77" t="s">
        <v>72</v>
      </c>
      <c r="O20" s="78">
        <v>10.0</v>
      </c>
      <c r="P20" s="77" t="s">
        <v>31</v>
      </c>
      <c r="Q20" s="85">
        <v>10.0</v>
      </c>
      <c r="R20" s="77" t="s">
        <v>89</v>
      </c>
      <c r="S20" s="85">
        <v>5.0</v>
      </c>
      <c r="T20" s="82">
        <f>SUM(C20+E20+G20+I20+K20+M20+O20+S20+Q20)</f>
        <v>250</v>
      </c>
    </row>
    <row r="21">
      <c r="A21" s="83" t="s">
        <v>116</v>
      </c>
      <c r="B21" s="77" t="s">
        <v>48</v>
      </c>
      <c r="C21" s="78">
        <v>180.0</v>
      </c>
      <c r="D21" s="77" t="s">
        <v>79</v>
      </c>
      <c r="E21" s="78">
        <v>40.0</v>
      </c>
      <c r="F21" s="77" t="s">
        <v>64</v>
      </c>
      <c r="G21" s="78">
        <v>15.0</v>
      </c>
      <c r="H21" s="77" t="s">
        <v>56</v>
      </c>
      <c r="I21" s="78">
        <v>15.0</v>
      </c>
      <c r="J21" s="77" t="s">
        <v>51</v>
      </c>
      <c r="K21" s="80"/>
      <c r="L21" s="79"/>
      <c r="M21" s="80"/>
      <c r="N21" s="79"/>
      <c r="O21" s="80"/>
      <c r="P21" s="79"/>
      <c r="Q21" s="81"/>
      <c r="R21" s="79"/>
      <c r="S21" s="81"/>
      <c r="T21" s="82">
        <f t="shared" ref="T21:T29" si="2">SUM(C21+E21+G21+I21+K21+M21+O21)</f>
        <v>250</v>
      </c>
    </row>
    <row r="22">
      <c r="A22" s="83" t="s">
        <v>117</v>
      </c>
      <c r="B22" s="77" t="s">
        <v>48</v>
      </c>
      <c r="C22" s="78">
        <v>180.0</v>
      </c>
      <c r="D22" s="77" t="s">
        <v>37</v>
      </c>
      <c r="E22" s="78">
        <v>35.0</v>
      </c>
      <c r="F22" s="77" t="s">
        <v>82</v>
      </c>
      <c r="G22" s="78">
        <v>15.0</v>
      </c>
      <c r="H22" s="77" t="s">
        <v>56</v>
      </c>
      <c r="I22" s="78">
        <v>10.0</v>
      </c>
      <c r="J22" s="77" t="s">
        <v>64</v>
      </c>
      <c r="K22" s="78">
        <v>10.0</v>
      </c>
      <c r="L22" s="79"/>
      <c r="M22" s="80"/>
      <c r="N22" s="79"/>
      <c r="O22" s="80"/>
      <c r="P22" s="79"/>
      <c r="Q22" s="81"/>
      <c r="R22" s="79"/>
      <c r="S22" s="81"/>
      <c r="T22" s="82">
        <f t="shared" si="2"/>
        <v>250</v>
      </c>
    </row>
    <row r="23">
      <c r="A23" s="83" t="s">
        <v>118</v>
      </c>
      <c r="B23" s="77" t="s">
        <v>55</v>
      </c>
      <c r="C23" s="78">
        <v>75.0</v>
      </c>
      <c r="D23" s="77" t="s">
        <v>52</v>
      </c>
      <c r="E23" s="78">
        <v>75.0</v>
      </c>
      <c r="F23" s="77" t="s">
        <v>56</v>
      </c>
      <c r="G23" s="78">
        <v>30.0</v>
      </c>
      <c r="H23" s="77" t="s">
        <v>64</v>
      </c>
      <c r="I23" s="78">
        <v>30.0</v>
      </c>
      <c r="J23" s="77" t="s">
        <v>72</v>
      </c>
      <c r="K23" s="78">
        <v>30.0</v>
      </c>
      <c r="L23" s="84" t="s">
        <v>83</v>
      </c>
      <c r="M23" s="78">
        <v>10.0</v>
      </c>
      <c r="N23" s="79"/>
      <c r="O23" s="80"/>
      <c r="P23" s="79"/>
      <c r="Q23" s="81"/>
      <c r="R23" s="79"/>
      <c r="S23" s="81"/>
      <c r="T23" s="82">
        <f t="shared" si="2"/>
        <v>250</v>
      </c>
    </row>
    <row r="24">
      <c r="A24" s="83" t="s">
        <v>119</v>
      </c>
      <c r="B24" s="77" t="s">
        <v>34</v>
      </c>
      <c r="C24" s="78">
        <v>90.0</v>
      </c>
      <c r="D24" s="77" t="s">
        <v>37</v>
      </c>
      <c r="E24" s="78">
        <v>85.0</v>
      </c>
      <c r="F24" s="84" t="s">
        <v>83</v>
      </c>
      <c r="G24" s="78">
        <v>25.0</v>
      </c>
      <c r="H24" s="77" t="s">
        <v>64</v>
      </c>
      <c r="I24" s="78">
        <v>25.0</v>
      </c>
      <c r="J24" s="77" t="s">
        <v>56</v>
      </c>
      <c r="K24" s="78">
        <v>25.0</v>
      </c>
      <c r="L24" s="79"/>
      <c r="M24" s="80"/>
      <c r="N24" s="79"/>
      <c r="O24" s="80"/>
      <c r="P24" s="79"/>
      <c r="Q24" s="81"/>
      <c r="R24" s="79"/>
      <c r="S24" s="81"/>
      <c r="T24" s="82">
        <f t="shared" si="2"/>
        <v>250</v>
      </c>
    </row>
    <row r="25">
      <c r="A25" s="76" t="s">
        <v>120</v>
      </c>
      <c r="B25" s="77" t="s">
        <v>47</v>
      </c>
      <c r="C25" s="78">
        <v>80.0</v>
      </c>
      <c r="D25" s="77" t="s">
        <v>64</v>
      </c>
      <c r="E25" s="78">
        <v>80.0</v>
      </c>
      <c r="F25" s="79"/>
      <c r="G25" s="80"/>
      <c r="H25" s="79"/>
      <c r="I25" s="80"/>
      <c r="J25" s="79"/>
      <c r="K25" s="80"/>
      <c r="L25" s="79"/>
      <c r="M25" s="80"/>
      <c r="N25" s="79"/>
      <c r="O25" s="80"/>
      <c r="P25" s="79"/>
      <c r="Q25" s="81"/>
      <c r="R25" s="79"/>
      <c r="S25" s="81"/>
      <c r="T25" s="82">
        <f t="shared" si="2"/>
        <v>160</v>
      </c>
    </row>
    <row r="26">
      <c r="A26" s="83" t="s">
        <v>121</v>
      </c>
      <c r="B26" s="77" t="s">
        <v>68</v>
      </c>
      <c r="C26" s="78">
        <v>80.0</v>
      </c>
      <c r="D26" s="77" t="s">
        <v>72</v>
      </c>
      <c r="E26" s="78">
        <v>80.0</v>
      </c>
      <c r="F26" s="79"/>
      <c r="G26" s="80"/>
      <c r="H26" s="79"/>
      <c r="I26" s="80"/>
      <c r="J26" s="79"/>
      <c r="K26" s="80"/>
      <c r="L26" s="79"/>
      <c r="M26" s="80"/>
      <c r="N26" s="79"/>
      <c r="O26" s="80"/>
      <c r="P26" s="79"/>
      <c r="Q26" s="81"/>
      <c r="R26" s="79"/>
      <c r="S26" s="81"/>
      <c r="T26" s="82">
        <f t="shared" si="2"/>
        <v>160</v>
      </c>
    </row>
    <row r="27">
      <c r="A27" s="83" t="s">
        <v>122</v>
      </c>
      <c r="B27" s="77" t="s">
        <v>47</v>
      </c>
      <c r="C27" s="78">
        <v>70.0</v>
      </c>
      <c r="D27" s="84" t="s">
        <v>68</v>
      </c>
      <c r="E27" s="78">
        <v>70.0</v>
      </c>
      <c r="F27" s="84" t="s">
        <v>75</v>
      </c>
      <c r="G27" s="78">
        <v>20.0</v>
      </c>
      <c r="H27" s="79"/>
      <c r="I27" s="80"/>
      <c r="J27" s="79"/>
      <c r="K27" s="80"/>
      <c r="L27" s="79"/>
      <c r="M27" s="80"/>
      <c r="N27" s="79"/>
      <c r="O27" s="80"/>
      <c r="P27" s="79"/>
      <c r="Q27" s="81"/>
      <c r="R27" s="79"/>
      <c r="S27" s="81"/>
      <c r="T27" s="82">
        <f t="shared" si="2"/>
        <v>160</v>
      </c>
    </row>
    <row r="28">
      <c r="A28" s="76" t="s">
        <v>123</v>
      </c>
      <c r="B28" s="77" t="s">
        <v>91</v>
      </c>
      <c r="C28" s="78">
        <v>40.0</v>
      </c>
      <c r="D28" s="77" t="s">
        <v>65</v>
      </c>
      <c r="E28" s="78">
        <v>30.0</v>
      </c>
      <c r="F28" s="77" t="s">
        <v>9</v>
      </c>
      <c r="G28" s="78">
        <v>30.0</v>
      </c>
      <c r="H28" s="77" t="s">
        <v>74</v>
      </c>
      <c r="I28" s="78">
        <v>1.0</v>
      </c>
      <c r="J28" s="77" t="s">
        <v>92</v>
      </c>
      <c r="K28" s="86">
        <v>1.0</v>
      </c>
      <c r="L28" s="79"/>
      <c r="M28" s="80"/>
      <c r="N28" s="79"/>
      <c r="O28" s="80"/>
      <c r="P28" s="79"/>
      <c r="Q28" s="81"/>
      <c r="R28" s="79"/>
      <c r="S28" s="81"/>
      <c r="T28" s="82">
        <f t="shared" si="2"/>
        <v>102</v>
      </c>
    </row>
    <row r="29">
      <c r="A29" s="87" t="s">
        <v>124</v>
      </c>
      <c r="B29" s="88" t="s">
        <v>125</v>
      </c>
      <c r="C29" s="86">
        <v>35.0</v>
      </c>
      <c r="D29" s="88" t="s">
        <v>79</v>
      </c>
      <c r="E29" s="78">
        <v>30.0</v>
      </c>
      <c r="F29" s="77"/>
      <c r="G29" s="78"/>
      <c r="H29" s="79"/>
      <c r="I29" s="80"/>
      <c r="J29" s="79"/>
      <c r="K29" s="80"/>
      <c r="L29" s="79"/>
      <c r="M29" s="80"/>
      <c r="N29" s="79"/>
      <c r="O29" s="80"/>
      <c r="P29" s="79"/>
      <c r="Q29" s="81"/>
      <c r="R29" s="79"/>
      <c r="S29" s="81"/>
      <c r="T29" s="82">
        <f t="shared" si="2"/>
        <v>65</v>
      </c>
    </row>
  </sheetData>
  <dataValidations>
    <dataValidation type="list" allowBlank="1" showErrorMessage="1" sqref="B3:B28 D2:D28 F2:F29 H2:H29 J2:J29 L2:L29 N2:N29 P2:P29 R2:R29">
      <formula1>'список продуктов'!$A$2:$A$65</formula1>
    </dataValidation>
    <dataValidation type="list" allowBlank="1" showErrorMessage="1" sqref="B2">
      <formula1>'список продуктов'!$A$2:$A$65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13"/>
  </cols>
  <sheetData>
    <row r="1">
      <c r="A1" s="89" t="s">
        <v>126</v>
      </c>
      <c r="B1" s="90" t="s">
        <v>127</v>
      </c>
      <c r="C1" s="91"/>
      <c r="D1" s="90" t="s">
        <v>127</v>
      </c>
      <c r="E1" s="91"/>
      <c r="F1" s="92" t="s">
        <v>128</v>
      </c>
      <c r="G1" s="91"/>
    </row>
    <row r="2">
      <c r="A2" s="93"/>
      <c r="B2" s="94" t="s">
        <v>118</v>
      </c>
      <c r="C2" s="95"/>
      <c r="D2" s="96" t="s">
        <v>121</v>
      </c>
      <c r="E2" s="95"/>
      <c r="F2" s="97" t="s">
        <v>129</v>
      </c>
      <c r="G2" s="98" t="s">
        <v>130</v>
      </c>
      <c r="H2" s="99"/>
      <c r="I2" s="99"/>
      <c r="J2" s="99"/>
      <c r="K2" s="99"/>
      <c r="L2" s="99"/>
      <c r="M2" s="99"/>
      <c r="N2" s="99"/>
      <c r="O2" s="99"/>
      <c r="P2" s="99"/>
    </row>
    <row r="3">
      <c r="A3" s="100"/>
      <c r="B3" s="101" t="s">
        <v>129</v>
      </c>
      <c r="C3" s="102" t="s">
        <v>131</v>
      </c>
      <c r="D3" s="101" t="s">
        <v>129</v>
      </c>
      <c r="E3" s="102" t="s">
        <v>131</v>
      </c>
      <c r="F3" s="103" t="s">
        <v>7</v>
      </c>
      <c r="G3" s="104">
        <v>130.0</v>
      </c>
    </row>
    <row r="4">
      <c r="A4" s="105"/>
      <c r="B4" s="106" t="str">
        <f>IFERROR(VLOOKUP(B2,'граммовки'!$A:$O,2,0),"Введите блюдо")</f>
        <v>Лапша (для лагмана) / Сухая яичная лапша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Огурцы</v>
      </c>
      <c r="E4" s="104">
        <f>IFERROR($A$4*VLOOKUP(D2,'граммовки'!$A:$O,3,0),"Введите блюдо")</f>
        <v>0</v>
      </c>
      <c r="F4" s="103" t="s">
        <v>9</v>
      </c>
      <c r="G4" s="104">
        <v>0.0</v>
      </c>
    </row>
    <row r="5">
      <c r="A5" s="8"/>
      <c r="B5" s="103" t="str">
        <f>IFERROR(VLOOKUP(B2,'граммовки'!$A:$O,4,0),"Введите блюдо")</f>
        <v>Куриное филе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Помидоры</v>
      </c>
      <c r="E5" s="104">
        <f>IFERROR($A$4*VLOOKUP(D2,'граммовки'!$A:$O,5,0),"Введите блюдо")</f>
        <v>0</v>
      </c>
      <c r="F5" s="103" t="s">
        <v>10</v>
      </c>
      <c r="G5" s="104">
        <v>100.0</v>
      </c>
    </row>
    <row r="6">
      <c r="A6" s="8"/>
      <c r="B6" s="103" t="str">
        <f>IFERROR(VLOOKUP(B2,'граммовки'!$A:$O,6,0),"Введите блюдо")</f>
        <v>Лук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/>
      </c>
      <c r="E6" s="104"/>
      <c r="F6" s="103" t="s">
        <v>11</v>
      </c>
      <c r="G6" s="104">
        <v>500.0</v>
      </c>
    </row>
    <row r="7">
      <c r="A7" s="8"/>
      <c r="B7" s="103" t="str">
        <f>IFERROR(VLOOKUP(B2,'граммовки'!$A:$O,8,0),"Введите блюдо")</f>
        <v>Морковь</v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/>
      <c r="F7" s="103" t="s">
        <v>12</v>
      </c>
      <c r="G7" s="104">
        <v>20.0</v>
      </c>
    </row>
    <row r="8">
      <c r="A8" s="8"/>
      <c r="B8" s="103" t="str">
        <f>IFERROR(VLOOKUP(B2,'граммовки'!$A:$O,10,0),"Введите блюдо")</f>
        <v>Помидоры</v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/>
      <c r="F8" s="103" t="s">
        <v>13</v>
      </c>
      <c r="G8" s="104">
        <v>20.0</v>
      </c>
    </row>
    <row r="9">
      <c r="A9" s="8"/>
      <c r="B9" s="103" t="str">
        <f>IFERROR(VLOOKUP(B2,'граммовки'!$A:$O,12,0),"Введите блюдо")</f>
        <v>Томатная паста </v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/>
      <c r="F9" s="103" t="s">
        <v>14</v>
      </c>
      <c r="G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/>
      <c r="F10" s="107" t="s">
        <v>16</v>
      </c>
      <c r="G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/>
      <c r="F11" s="8"/>
      <c r="G11" s="8"/>
    </row>
  </sheetData>
  <mergeCells count="5">
    <mergeCell ref="B1:C1"/>
    <mergeCell ref="D1:E1"/>
    <mergeCell ref="F1:G1"/>
    <mergeCell ref="B2:C2"/>
    <mergeCell ref="D2:E2"/>
  </mergeCells>
  <dataValidations>
    <dataValidation type="list" allowBlank="1" showErrorMessage="1" sqref="B2 D2">
      <formula1>'граммовки'!$A$2:$A$60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13"/>
  </cols>
  <sheetData>
    <row r="1">
      <c r="A1" s="109" t="s">
        <v>126</v>
      </c>
      <c r="B1" s="110" t="s">
        <v>132</v>
      </c>
      <c r="C1" s="91"/>
      <c r="D1" s="110" t="s">
        <v>132</v>
      </c>
      <c r="E1" s="91"/>
      <c r="F1" s="111" t="s">
        <v>133</v>
      </c>
      <c r="G1" s="91"/>
      <c r="H1" s="111" t="s">
        <v>133</v>
      </c>
      <c r="I1" s="91"/>
      <c r="J1" s="112" t="s">
        <v>127</v>
      </c>
      <c r="K1" s="91"/>
      <c r="L1" s="112" t="s">
        <v>127</v>
      </c>
      <c r="M1" s="91"/>
      <c r="N1" s="113" t="s">
        <v>134</v>
      </c>
      <c r="O1" s="91"/>
      <c r="P1" s="114" t="s">
        <v>128</v>
      </c>
      <c r="Q1" s="91"/>
      <c r="R1" s="99"/>
      <c r="S1" s="99"/>
      <c r="T1" s="99"/>
      <c r="U1" s="99"/>
      <c r="V1" s="99"/>
      <c r="W1" s="99"/>
      <c r="X1" s="99"/>
      <c r="Y1" s="99"/>
      <c r="Z1" s="99"/>
    </row>
    <row r="2">
      <c r="A2" s="93"/>
      <c r="B2" s="94" t="s">
        <v>99</v>
      </c>
      <c r="C2" s="95"/>
      <c r="D2" s="94" t="s">
        <v>102</v>
      </c>
      <c r="E2" s="95"/>
      <c r="F2" s="94" t="s">
        <v>110</v>
      </c>
      <c r="G2" s="95"/>
      <c r="H2" s="94" t="s">
        <v>112</v>
      </c>
      <c r="I2" s="95"/>
      <c r="J2" s="94" t="s">
        <v>115</v>
      </c>
      <c r="K2" s="95"/>
      <c r="L2" s="94" t="s">
        <v>120</v>
      </c>
      <c r="M2" s="95"/>
      <c r="N2" s="94" t="s">
        <v>102</v>
      </c>
      <c r="O2" s="95"/>
      <c r="P2" s="97" t="s">
        <v>129</v>
      </c>
      <c r="Q2" s="98" t="s">
        <v>130</v>
      </c>
      <c r="R2" s="99"/>
      <c r="S2" s="99"/>
      <c r="T2" s="99"/>
      <c r="U2" s="99"/>
      <c r="V2" s="99"/>
      <c r="W2" s="99"/>
      <c r="X2" s="99"/>
      <c r="Y2" s="99"/>
      <c r="Z2" s="99"/>
    </row>
    <row r="3">
      <c r="A3" s="100"/>
      <c r="B3" s="97" t="s">
        <v>129</v>
      </c>
      <c r="C3" s="98" t="s">
        <v>131</v>
      </c>
      <c r="D3" s="97" t="s">
        <v>129</v>
      </c>
      <c r="E3" s="98" t="s">
        <v>131</v>
      </c>
      <c r="F3" s="97" t="s">
        <v>129</v>
      </c>
      <c r="G3" s="98" t="s">
        <v>131</v>
      </c>
      <c r="H3" s="97" t="s">
        <v>129</v>
      </c>
      <c r="I3" s="98" t="s">
        <v>131</v>
      </c>
      <c r="J3" s="97" t="s">
        <v>129</v>
      </c>
      <c r="K3" s="98" t="s">
        <v>131</v>
      </c>
      <c r="L3" s="97" t="s">
        <v>129</v>
      </c>
      <c r="M3" s="98" t="s">
        <v>131</v>
      </c>
      <c r="N3" s="97" t="s">
        <v>129</v>
      </c>
      <c r="O3" s="98" t="s">
        <v>131</v>
      </c>
      <c r="P3" s="115" t="s">
        <v>7</v>
      </c>
      <c r="Q3" s="116">
        <v>130.0</v>
      </c>
      <c r="R3" s="99"/>
      <c r="S3" s="99"/>
      <c r="T3" s="99"/>
      <c r="U3" s="99"/>
      <c r="V3" s="99"/>
      <c r="W3" s="99"/>
      <c r="X3" s="99"/>
      <c r="Y3" s="99"/>
      <c r="Z3" s="99"/>
    </row>
    <row r="4">
      <c r="A4" s="117"/>
      <c r="B4" s="106" t="str">
        <f>IFERROR(VLOOKUP(B2,'граммовки'!$A:$O,2,0),"Введите блюдо")</f>
        <v>Бананы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Хлеб</v>
      </c>
      <c r="E4" s="104">
        <f>IFERROR($A$4*VLOOKUP(D2,'граммовки'!$A:$O,3,0),"Введите блюдо")</f>
        <v>0</v>
      </c>
      <c r="F4" s="106" t="str">
        <f>IFERROR(VLOOKUP(F2,'граммовки'!$A:$O,2,0),"Введите блюдо")</f>
        <v>Грибная заправка</v>
      </c>
      <c r="G4" s="104">
        <f>IFERROR($A$4*VLOOKUP(F2,'граммовки'!$A:$O,3,0),"Введите блюдо")</f>
        <v>0</v>
      </c>
      <c r="H4" s="106" t="str">
        <f>IFERROR(VLOOKUP(H2,'граммовки'!$A:$O,2,0),"Введите блюдо")</f>
        <v>Макароны</v>
      </c>
      <c r="I4" s="104">
        <f>IFERROR($A$4*VLOOKUP(H2,'граммовки'!$A:$O,3,0),"Введите блюдо")</f>
        <v>0</v>
      </c>
      <c r="J4" s="106" t="str">
        <f>IFERROR(VLOOKUP(J2,'граммовки'!$A:$O,2,0),"Введите блюдо")</f>
        <v>Баклажан</v>
      </c>
      <c r="K4" s="104">
        <f>IFERROR($A$4*VLOOKUP(J2,'граммовки'!$A:$O,3,0),"Введите блюдо")</f>
        <v>0</v>
      </c>
      <c r="L4" s="106" t="str">
        <f>IFERROR(VLOOKUP(L2,'граммовки'!$A:$O,2,0),"Введите блюдо")</f>
        <v>Капуста</v>
      </c>
      <c r="M4" s="104">
        <f>IFERROR($A$4*VLOOKUP(L2,'граммовки'!$A:$O,3,0),"Введите блюдо")</f>
        <v>0</v>
      </c>
      <c r="N4" s="106" t="str">
        <f>IFERROR(VLOOKUP(N2,'граммовки'!$A:$O,2,0),"Введите блюдо")</f>
        <v>Хлеб</v>
      </c>
      <c r="O4" s="104">
        <f>IFERROR($A$4*VLOOKUP(N2,'граммовки'!$A:$O,3,0),"Введите блюдо")</f>
        <v>0</v>
      </c>
      <c r="P4" s="103" t="s">
        <v>9</v>
      </c>
      <c r="Q4" s="104">
        <v>0.0</v>
      </c>
    </row>
    <row r="5">
      <c r="A5" s="8"/>
      <c r="B5" s="103" t="str">
        <f>IFERROR(VLOOKUP(B2,'граммовки'!$A:$O,4,0),"Введите блюдо")</f>
        <v>Мука 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Плавленный сыр</v>
      </c>
      <c r="E5" s="104">
        <f>IFERROR($A$4*VLOOKUP(D2,'граммовки'!$A:$O,5,0),"Введите блюдо")</f>
        <v>0</v>
      </c>
      <c r="F5" s="103" t="str">
        <f>IFERROR(VLOOKUP(F2,'граммовки'!$A:$O,4,0),"Введите блюдо")</f>
        <v>Плавленный сыр</v>
      </c>
      <c r="G5" s="104">
        <f>IFERROR($A$4*VLOOKUP(F2,'граммовки'!$A:$O,5,0),"Введите блюдо")</f>
        <v>0</v>
      </c>
      <c r="H5" s="103" t="str">
        <f>IFERROR(VLOOKUP(H2,'граммовки'!$A:$O,4,0),"Введите блюдо")</f>
        <v>Говядина тушёная</v>
      </c>
      <c r="I5" s="104">
        <f>IFERROR($A$4*VLOOKUP(H2,'граммовки'!$A:$O,5,0),"Введите блюдо")</f>
        <v>0</v>
      </c>
      <c r="J5" s="103" t="str">
        <f>IFERROR(VLOOKUP(J2,'граммовки'!$A:$O,4,0),"Введите блюдо")</f>
        <v>Картофель</v>
      </c>
      <c r="K5" s="104">
        <f>IFERROR($A$4*VLOOKUP(J2,'граммовки'!$A:$O,5,0),"Введите блюдо")</f>
        <v>0</v>
      </c>
      <c r="L5" s="103" t="str">
        <f>IFERROR(VLOOKUP(L2,'граммовки'!$A:$O,4,0),"Введите блюдо")</f>
        <v>Морковь</v>
      </c>
      <c r="M5" s="104">
        <f>IFERROR($A$4*VLOOKUP(L2,'граммовки'!$A:$O,5,0),"Введите блюдо")</f>
        <v>0</v>
      </c>
      <c r="N5" s="103" t="str">
        <f>IFERROR(VLOOKUP(N2,'граммовки'!$A:$O,4,0),"Введите блюдо")</f>
        <v>Плавленный сыр</v>
      </c>
      <c r="O5" s="104">
        <f>IFERROR($A$4*VLOOKUP(N2,'граммовки'!$A:$O,5,0),"Введите блюдо")</f>
        <v>0</v>
      </c>
      <c r="P5" s="103" t="s">
        <v>10</v>
      </c>
      <c r="Q5" s="104">
        <v>100.0</v>
      </c>
    </row>
    <row r="6">
      <c r="A6" s="8"/>
      <c r="B6" s="103" t="str">
        <f>IFERROR(VLOOKUP(B2,'граммовки'!$A:$O,6,0),"Введите блюдо")</f>
        <v>Сахар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>Огурцы</v>
      </c>
      <c r="E6" s="104">
        <f>IFERROR($A$4*VLOOKUP(D2,'граммовки'!$A:$O,7,0),"Введите блюдо")</f>
        <v>0</v>
      </c>
      <c r="F6" s="103" t="str">
        <f>IFERROR(VLOOKUP(F2,'граммовки'!$A:$O,6,0),"Введите блюдо")</f>
        <v>Морковь</v>
      </c>
      <c r="G6" s="104">
        <f>IFERROR($A$4*VLOOKUP(F2,'граммовки'!$A:$O,7,0),"Введите блюдо")</f>
        <v>0</v>
      </c>
      <c r="H6" s="103" t="str">
        <f>IFERROR(VLOOKUP(H2,'граммовки'!$A:$O,6,0),"Введите блюдо")</f>
        <v>Томатная паста </v>
      </c>
      <c r="I6" s="104">
        <f>IFERROR($A$4*VLOOKUP(H2,'граммовки'!$A:$O,7,0),"Введите блюдо")</f>
        <v>0</v>
      </c>
      <c r="J6" s="103" t="str">
        <f>IFERROR(VLOOKUP(J2,'граммовки'!$A:$O,6,0),"Введите блюдо")</f>
        <v>Морковь</v>
      </c>
      <c r="K6" s="104">
        <f>IFERROR($A$4*VLOOKUP(J2,'граммовки'!$A:$O,7,0),"Введите блюдо")</f>
        <v>0</v>
      </c>
      <c r="L6" s="103" t="str">
        <f>IFERROR(VLOOKUP(L2,'граммовки'!$A:$O,6,0),"Введите блюдо")</f>
        <v/>
      </c>
      <c r="M6" s="104">
        <f>IFERROR($A$4*VLOOKUP(L2,'граммовки'!$A:$O,7,0),"Введите блюдо")</f>
        <v>0</v>
      </c>
      <c r="N6" s="103" t="str">
        <f>IFERROR(VLOOKUP(N2,'граммовки'!$A:$O,6,0),"Введите блюдо")</f>
        <v>Огурцы</v>
      </c>
      <c r="O6" s="104">
        <f>IFERROR($A$4*VLOOKUP(N2,'граммовки'!$A:$O,7,0),"Введите блюдо")</f>
        <v>0</v>
      </c>
      <c r="P6" s="103" t="s">
        <v>11</v>
      </c>
      <c r="Q6" s="104">
        <v>500.0</v>
      </c>
    </row>
    <row r="7">
      <c r="A7" s="8"/>
      <c r="B7" s="103" t="str">
        <f>IFERROR(VLOOKUP(B2,'граммовки'!$A:$O,8,0),"Введите блюдо")</f>
        <v>Молоко</v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>
        <f>IFERROR($A$4*VLOOKUP(D2,'граммовки'!$A:$O,9,0),"Введите блюдо")</f>
        <v>0</v>
      </c>
      <c r="F7" s="103" t="str">
        <f>IFERROR(VLOOKUP(F2,'граммовки'!$A:$O,8,0),"Введите блюдо")</f>
        <v>Картофель</v>
      </c>
      <c r="G7" s="104">
        <f>IFERROR($A$4*VLOOKUP(F2,'граммовки'!$A:$O,9,0),"Введите блюдо")</f>
        <v>0</v>
      </c>
      <c r="H7" s="103" t="str">
        <f>IFERROR(VLOOKUP(H2,'граммовки'!$A:$O,8,0),"Введите блюдо")</f>
        <v>Лук</v>
      </c>
      <c r="I7" s="104">
        <f>IFERROR($A$4*VLOOKUP(H2,'граммовки'!$A:$O,9,0),"Введите блюдо")</f>
        <v>0</v>
      </c>
      <c r="J7" s="103" t="str">
        <f>IFERROR(VLOOKUP(J2,'граммовки'!$A:$O,8,0),"Введите блюдо")</f>
        <v>Лук</v>
      </c>
      <c r="K7" s="104">
        <f>IFERROR($A$4*VLOOKUP(J2,'граммовки'!$A:$O,9,0),"Введите блюдо")</f>
        <v>0</v>
      </c>
      <c r="L7" s="103" t="str">
        <f>IFERROR(VLOOKUP(L2,'граммовки'!$A:$O,8,0),"Введите блюдо")</f>
        <v/>
      </c>
      <c r="M7" s="104">
        <f>IFERROR($A$4*VLOOKUP(L2,'граммовки'!$A:$O,9,0),"Введите блюдо")</f>
        <v>0</v>
      </c>
      <c r="N7" s="103" t="str">
        <f>IFERROR(VLOOKUP(N2,'граммовки'!$A:$O,8,0),"Введите блюдо")</f>
        <v/>
      </c>
      <c r="O7" s="104">
        <f>IFERROR($A$4*VLOOKUP(N2,'граммовки'!$A:$O,9,0),"Введите блюдо")</f>
        <v>0</v>
      </c>
      <c r="P7" s="103" t="s">
        <v>12</v>
      </c>
      <c r="Q7" s="104">
        <v>20.0</v>
      </c>
    </row>
    <row r="8">
      <c r="A8" s="8"/>
      <c r="B8" s="103" t="str">
        <f>IFERROR(VLOOKUP(B2,'граммовки'!$A:$O,10,0),"Введите блюдо")</f>
        <v>Яйца (30 шт)</v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>
        <f>IFERROR($A$4*VLOOKUP(D2,'граммовки'!$A:$O,11,0),"Введите блюдо")</f>
        <v>0</v>
      </c>
      <c r="F8" s="103" t="str">
        <f>IFERROR(VLOOKUP(F2,'граммовки'!$A:$O,10,0),"Введите блюдо")</f>
        <v>Лук</v>
      </c>
      <c r="G8" s="104">
        <f>IFERROR($A$4*VLOOKUP(F2,'граммовки'!$A:$O,11,0),"Введите блюдо")</f>
        <v>0</v>
      </c>
      <c r="H8" s="103" t="str">
        <f>IFERROR(VLOOKUP(H2,'граммовки'!$A:$O,10,0),"Введите блюдо")</f>
        <v>Морковь</v>
      </c>
      <c r="I8" s="104">
        <f>IFERROR($A$4*VLOOKUP(H2,'граммовки'!$A:$O,11,0),"Введите блюдо")</f>
        <v>0</v>
      </c>
      <c r="J8" s="103" t="str">
        <f>IFERROR(VLOOKUP(J2,'граммовки'!$A:$O,10,0),"Введите блюдо")</f>
        <v>Кабачки</v>
      </c>
      <c r="K8" s="104">
        <f>IFERROR($A$4*VLOOKUP(J2,'граммовки'!$A:$O,11,0),"Введите блюдо")</f>
        <v>0</v>
      </c>
      <c r="L8" s="103" t="str">
        <f>IFERROR(VLOOKUP(L2,'граммовки'!$A:$O,10,0),"Введите блюдо")</f>
        <v/>
      </c>
      <c r="M8" s="104">
        <f>IFERROR($A$4*VLOOKUP(L2,'граммовки'!$A:$O,11,0),"Введите блюдо")</f>
        <v>0</v>
      </c>
      <c r="N8" s="103" t="str">
        <f>IFERROR(VLOOKUP(N2,'граммовки'!$A:$O,10,0),"Введите блюдо")</f>
        <v/>
      </c>
      <c r="O8" s="104">
        <f>IFERROR($A$4*VLOOKUP(N2,'граммовки'!$A:$O,11,0),"Введите блюдо")</f>
        <v>0</v>
      </c>
      <c r="P8" s="103" t="s">
        <v>13</v>
      </c>
      <c r="Q8" s="104">
        <v>20.0</v>
      </c>
    </row>
    <row r="9">
      <c r="A9" s="8"/>
      <c r="B9" s="103" t="str">
        <f>IFERROR(VLOOKUP(B2,'граммовки'!$A:$O,12,0),"Введите блюдо")</f>
        <v/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>
        <f>IFERROR($A$4*VLOOKUP(D2,'граммовки'!$A:$O,13,0),"Введите блюдо")</f>
        <v>0</v>
      </c>
      <c r="F9" s="103" t="str">
        <f>IFERROR(VLOOKUP(F2,'граммовки'!$A:$O,12,0),"Введите блюдо")</f>
        <v/>
      </c>
      <c r="G9" s="104">
        <f>IFERROR($A$4*VLOOKUP(F2,'граммовки'!$A:$O,13,0),"Введите блюдо")</f>
        <v>0</v>
      </c>
      <c r="H9" s="103" t="str">
        <f>IFERROR(VLOOKUP(H2,'граммовки'!$A:$O,12,0),"Введите блюдо")</f>
        <v/>
      </c>
      <c r="I9" s="104">
        <f>IFERROR($A$4*VLOOKUP(H2,'граммовки'!$A:$O,13,0),"Введите блюдо")</f>
        <v>0</v>
      </c>
      <c r="J9" s="103" t="str">
        <f>IFERROR(VLOOKUP(J2,'граммовки'!$A:$O,12,0),"Введите блюдо")</f>
        <v>Помидоры</v>
      </c>
      <c r="K9" s="104">
        <f>IFERROR($A$4*VLOOKUP(J2,'граммовки'!$A:$O,13,0),"Введите блюдо")</f>
        <v>0</v>
      </c>
      <c r="L9" s="103" t="str">
        <f>IFERROR(VLOOKUP(L2,'граммовки'!$A:$O,12,0),"Введите блюдо")</f>
        <v/>
      </c>
      <c r="M9" s="104">
        <f>IFERROR($A$4*VLOOKUP(L2,'граммовки'!$A:$O,13,0),"Введите блюдо")</f>
        <v>0</v>
      </c>
      <c r="N9" s="103" t="str">
        <f>IFERROR(VLOOKUP(N2,'граммовки'!$A:$O,12,0),"Введите блюдо")</f>
        <v/>
      </c>
      <c r="O9" s="104">
        <f>IFERROR($A$4*VLOOKUP(N2,'граммовки'!$A:$O,13,0),"Введите блюдо")</f>
        <v>0</v>
      </c>
      <c r="P9" s="103" t="s">
        <v>14</v>
      </c>
      <c r="Q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>
        <f>IFERROR($A$4*VLOOKUP(D2,'граммовки'!$A:$O,15,0),"Введите блюдо")</f>
        <v>0</v>
      </c>
      <c r="F10" s="103" t="str">
        <f>IFERROR(VLOOKUP(F2,'граммовки'!$A:$O,14,0),"Введите блюдо")</f>
        <v/>
      </c>
      <c r="G10" s="104">
        <f>IFERROR($A$4*VLOOKUP(F2,'граммовки'!$A:$O,15,0),"Введите блюдо")</f>
        <v>0</v>
      </c>
      <c r="H10" s="103" t="str">
        <f>IFERROR(VLOOKUP(H2,'граммовки'!$A:$O,14,0),"Введите блюдо")</f>
        <v/>
      </c>
      <c r="I10" s="104">
        <f>IFERROR($A$4*VLOOKUP(H2,'граммовки'!$A:$O,15,0),"Введите блюдо")</f>
        <v>0</v>
      </c>
      <c r="J10" s="103" t="str">
        <f>IFERROR(VLOOKUP(J2,'граммовки'!$A:$O,14,0),"Введите блюдо")</f>
        <v>Помидоры</v>
      </c>
      <c r="K10" s="104">
        <f>IFERROR($A$4*VLOOKUP(J2,'граммовки'!$A:$O,15,0),"Введите блюдо")</f>
        <v>0</v>
      </c>
      <c r="L10" s="103" t="str">
        <f>IFERROR(VLOOKUP(L2,'граммовки'!$A:$O,14,0),"Введите блюдо")</f>
        <v/>
      </c>
      <c r="M10" s="104">
        <f>IFERROR($A$4*VLOOKUP(L2,'граммовки'!$A:$O,15,0),"Введите блюдо")</f>
        <v>0</v>
      </c>
      <c r="N10" s="103" t="str">
        <f>IFERROR(VLOOKUP(N2,'граммовки'!$A:$O,14,0),"Введите блюдо")</f>
        <v/>
      </c>
      <c r="O10" s="104">
        <f>IFERROR($A$4*VLOOKUP(N2,'граммовки'!$A:$O,15,0),"Введите блюдо")</f>
        <v>0</v>
      </c>
      <c r="P10" s="107" t="s">
        <v>16</v>
      </c>
      <c r="Q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>
        <f>IFERROR($A$4*VLOOKUP(D2,'граммовки'!$A:$T,17,0),"Введите блюдо")</f>
        <v>0</v>
      </c>
      <c r="F11" s="107" t="str">
        <f>IFERROR(VLOOKUP(F2,'граммовки'!$A:$T,16,0),"Введите блюдо")</f>
        <v/>
      </c>
      <c r="G11" s="108">
        <f>IFERROR($A$4*VLOOKUP(F2,'граммовки'!$A:$T,17,0),"Введите блюдо")</f>
        <v>0</v>
      </c>
      <c r="H11" s="107" t="str">
        <f>IFERROR(VLOOKUP(H2,'граммовки'!$A:$T,16,0),"Введите блюдо")</f>
        <v/>
      </c>
      <c r="I11" s="108">
        <f>IFERROR($A$4*VLOOKUP(H2,'граммовки'!$A:$T,17,0),"Введите блюдо")</f>
        <v>0</v>
      </c>
      <c r="J11" s="107" t="str">
        <f>IFERROR(VLOOKUP(J2,'граммовки'!$A:$T,16,0),"Введите блюдо")</f>
        <v>Болгарский перец</v>
      </c>
      <c r="K11" s="108">
        <f>IFERROR($A$4*VLOOKUP(J2,'граммовки'!$A:$T,17,0),"Введите блюдо")</f>
        <v>0</v>
      </c>
      <c r="L11" s="107" t="str">
        <f>IFERROR(VLOOKUP(L2,'граммовки'!$A:$T,16,0),"Введите блюдо")</f>
        <v/>
      </c>
      <c r="M11" s="108">
        <f>IFERROR($A$4*VLOOKUP(L2,'граммовки'!$A:$T,17,0),"Введите блюдо")</f>
        <v>0</v>
      </c>
      <c r="N11" s="107" t="str">
        <f>IFERROR(VLOOKUP(N2,'граммовки'!$A:$T,16,0),"Введите блюдо")</f>
        <v/>
      </c>
      <c r="O11" s="108">
        <f>IFERROR($A$4*VLOOKUP(N2,'граммовки'!$A:$T,17,0),"Введите блюдо")</f>
        <v>0</v>
      </c>
      <c r="P11" s="8"/>
      <c r="Q11" s="8"/>
    </row>
  </sheetData>
  <mergeCells count="15">
    <mergeCell ref="B1:C1"/>
    <mergeCell ref="B2:C2"/>
    <mergeCell ref="D2:E2"/>
    <mergeCell ref="F2:G2"/>
    <mergeCell ref="H2:I2"/>
    <mergeCell ref="J2:K2"/>
    <mergeCell ref="L2:M2"/>
    <mergeCell ref="N2:O2"/>
    <mergeCell ref="D1:E1"/>
    <mergeCell ref="F1:G1"/>
    <mergeCell ref="H1:I1"/>
    <mergeCell ref="J1:K1"/>
    <mergeCell ref="L1:M1"/>
    <mergeCell ref="N1:O1"/>
    <mergeCell ref="P1:Q1"/>
  </mergeCells>
  <dataValidations>
    <dataValidation type="list" allowBlank="1" showErrorMessage="1" sqref="B2 D2 F2 H2 J2 L2 N2">
      <formula1>'граммовки'!$A$2:$A$60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13"/>
  </cols>
  <sheetData>
    <row r="1">
      <c r="A1" s="89" t="s">
        <v>126</v>
      </c>
      <c r="B1" s="118" t="s">
        <v>132</v>
      </c>
      <c r="C1" s="91"/>
      <c r="D1" s="118" t="s">
        <v>132</v>
      </c>
      <c r="E1" s="91"/>
      <c r="F1" s="119" t="s">
        <v>133</v>
      </c>
      <c r="G1" s="91"/>
      <c r="H1" s="119" t="s">
        <v>133</v>
      </c>
      <c r="I1" s="91"/>
      <c r="J1" s="90" t="s">
        <v>127</v>
      </c>
      <c r="K1" s="91"/>
      <c r="L1" s="90" t="s">
        <v>127</v>
      </c>
      <c r="M1" s="91"/>
      <c r="N1" s="120" t="s">
        <v>134</v>
      </c>
      <c r="O1" s="91"/>
      <c r="P1" s="92" t="s">
        <v>128</v>
      </c>
      <c r="Q1" s="91"/>
    </row>
    <row r="2">
      <c r="A2" s="121"/>
      <c r="B2" s="122" t="s">
        <v>104</v>
      </c>
      <c r="C2" s="95"/>
      <c r="D2" s="122" t="s">
        <v>103</v>
      </c>
      <c r="E2" s="95"/>
      <c r="F2" s="122" t="s">
        <v>107</v>
      </c>
      <c r="G2" s="95"/>
      <c r="H2" s="122" t="s">
        <v>113</v>
      </c>
      <c r="I2" s="95"/>
      <c r="J2" s="122" t="s">
        <v>114</v>
      </c>
      <c r="K2" s="95"/>
      <c r="L2" s="122" t="s">
        <v>122</v>
      </c>
      <c r="M2" s="95"/>
      <c r="N2" s="122" t="s">
        <v>101</v>
      </c>
      <c r="O2" s="95"/>
      <c r="P2" s="101" t="s">
        <v>129</v>
      </c>
      <c r="Q2" s="102" t="s">
        <v>130</v>
      </c>
    </row>
    <row r="3">
      <c r="A3" s="123"/>
      <c r="B3" s="101" t="s">
        <v>129</v>
      </c>
      <c r="C3" s="102" t="s">
        <v>131</v>
      </c>
      <c r="D3" s="101" t="s">
        <v>129</v>
      </c>
      <c r="E3" s="102" t="s">
        <v>131</v>
      </c>
      <c r="F3" s="101" t="s">
        <v>129</v>
      </c>
      <c r="G3" s="102" t="s">
        <v>131</v>
      </c>
      <c r="H3" s="101" t="s">
        <v>129</v>
      </c>
      <c r="I3" s="102" t="s">
        <v>131</v>
      </c>
      <c r="J3" s="101" t="s">
        <v>129</v>
      </c>
      <c r="K3" s="102" t="s">
        <v>131</v>
      </c>
      <c r="L3" s="101" t="s">
        <v>129</v>
      </c>
      <c r="M3" s="102" t="s">
        <v>131</v>
      </c>
      <c r="N3" s="101" t="s">
        <v>129</v>
      </c>
      <c r="O3" s="102" t="s">
        <v>131</v>
      </c>
      <c r="P3" s="103" t="s">
        <v>7</v>
      </c>
      <c r="Q3" s="104">
        <v>130.0</v>
      </c>
    </row>
    <row r="4">
      <c r="A4" s="124"/>
      <c r="B4" s="106" t="str">
        <f>IFERROR(VLOOKUP(B2,'граммовки'!$A:$O,2,0),"Введите блюдо")</f>
        <v>Картофель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Хлеб</v>
      </c>
      <c r="E4" s="104">
        <f>IFERROR($A$4*VLOOKUP(D2,'граммовки'!$A:$O,3,0),"Введите блюдо")</f>
        <v>0</v>
      </c>
      <c r="F4" s="106" t="str">
        <f>IFERROR(VLOOKUP(F2,'граммовки'!$A:$O,2,0),"Введите блюдо")</f>
        <v>Куриное филе</v>
      </c>
      <c r="G4" s="104">
        <f>IFERROR($A$4*VLOOKUP(F2,'граммовки'!$A:$O,3,0),"Введите блюдо")</f>
        <v>0</v>
      </c>
      <c r="H4" s="106" t="str">
        <f>IFERROR(VLOOKUP(H2,'граммовки'!$A:$O,2,0),"Введите блюдо")</f>
        <v>Гречневая крупа</v>
      </c>
      <c r="I4" s="104">
        <f>IFERROR($A$4*VLOOKUP(H2,'граммовки'!$A:$O,3,0),"Введите блюдо")</f>
        <v>0</v>
      </c>
      <c r="J4" s="106" t="str">
        <f>IFERROR(VLOOKUP(J2,'граммовки'!$A:$O,2,0),"Введите блюдо")</f>
        <v>Рис</v>
      </c>
      <c r="K4" s="104">
        <f>IFERROR($A$4*VLOOKUP(J2,'граммовки'!$A:$O,3,0),"Введите блюдо")</f>
        <v>0</v>
      </c>
      <c r="L4" s="106" t="str">
        <f>IFERROR(VLOOKUP(L2,'граммовки'!$A:$O,2,0),"Введите блюдо")</f>
        <v>Капуста</v>
      </c>
      <c r="M4" s="104">
        <f>IFERROR($A$4*VLOOKUP(L2,'граммовки'!$A:$O,3,0),"Введите блюдо")</f>
        <v>0</v>
      </c>
      <c r="N4" s="106" t="str">
        <f>IFERROR(VLOOKUP(N2,'граммовки'!$A:$O,2,0),"Введите блюдо")</f>
        <v>Хлеб</v>
      </c>
      <c r="O4" s="104">
        <f>IFERROR($A$4*VLOOKUP(N2,'граммовки'!$A:$O,3,0),"Введите блюдо")</f>
        <v>0</v>
      </c>
      <c r="P4" s="103" t="s">
        <v>9</v>
      </c>
      <c r="Q4" s="104">
        <v>0.0</v>
      </c>
    </row>
    <row r="5">
      <c r="A5" s="8"/>
      <c r="B5" s="103" t="str">
        <f>IFERROR(VLOOKUP(B2,'граммовки'!$A:$O,4,0),"Введите блюдо")</f>
        <v>Мука 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Плавленный сыр</v>
      </c>
      <c r="E5" s="104">
        <f>IFERROR($A$4*VLOOKUP(D2,'граммовки'!$A:$O,5,0),"Введите блюдо")</f>
        <v>0</v>
      </c>
      <c r="F5" s="103" t="str">
        <f>IFERROR(VLOOKUP(F2,'граммовки'!$A:$O,4,0),"Введите блюдо")</f>
        <v>Лук</v>
      </c>
      <c r="G5" s="104">
        <f>IFERROR($A$4*VLOOKUP(F2,'граммовки'!$A:$O,5,0),"Введите блюдо")</f>
        <v>0</v>
      </c>
      <c r="H5" s="103" t="str">
        <f>IFERROR(VLOOKUP(H2,'граммовки'!$A:$O,4,0),"Введите блюдо")</f>
        <v>Говядина тушёная</v>
      </c>
      <c r="I5" s="104">
        <f>IFERROR($A$4*VLOOKUP(H2,'граммовки'!$A:$O,5,0),"Введите блюдо")</f>
        <v>0</v>
      </c>
      <c r="J5" s="103" t="str">
        <f>IFERROR(VLOOKUP(J2,'граммовки'!$A:$O,4,0),"Введите блюдо")</f>
        <v>Куриное филе</v>
      </c>
      <c r="K5" s="104">
        <f>IFERROR($A$4*VLOOKUP(J2,'граммовки'!$A:$O,5,0),"Введите блюдо")</f>
        <v>0</v>
      </c>
      <c r="L5" s="103" t="str">
        <f>IFERROR(VLOOKUP(L2,'граммовки'!$A:$O,4,0),"Введите блюдо")</f>
        <v>Огурцы</v>
      </c>
      <c r="M5" s="104">
        <f>IFERROR($A$4*VLOOKUP(L2,'граммовки'!$A:$O,5,0),"Введите блюдо")</f>
        <v>0</v>
      </c>
      <c r="N5" s="103" t="str">
        <f>IFERROR(VLOOKUP(N2,'граммовки'!$A:$O,4,0),"Введите блюдо")</f>
        <v>Плавленный сыр</v>
      </c>
      <c r="O5" s="104">
        <f>IFERROR($A$4*VLOOKUP(N2,'граммовки'!$A:$O,5,0),"Введите блюдо")</f>
        <v>0</v>
      </c>
      <c r="P5" s="103" t="s">
        <v>10</v>
      </c>
      <c r="Q5" s="104">
        <v>100.0</v>
      </c>
    </row>
    <row r="6">
      <c r="A6" s="8"/>
      <c r="B6" s="103" t="str">
        <f>IFERROR(VLOOKUP(B2,'граммовки'!$A:$O,6,0),"Введите блюдо")</f>
        <v>Яйца (30 шт)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>Помидоры</v>
      </c>
      <c r="E6" s="104">
        <f>IFERROR($A$4*VLOOKUP(D2,'граммовки'!$A:$O,7,0),"Введите блюдо")</f>
        <v>0</v>
      </c>
      <c r="F6" s="103" t="str">
        <f>IFERROR(VLOOKUP(F2,'граммовки'!$A:$O,6,0),"Введите блюдо")</f>
        <v>Вермишель</v>
      </c>
      <c r="G6" s="104">
        <f>IFERROR($A$4*VLOOKUP(F2,'граммовки'!$A:$O,7,0),"Введите блюдо")</f>
        <v>0</v>
      </c>
      <c r="H6" s="103" t="str">
        <f>IFERROR(VLOOKUP(H2,'граммовки'!$A:$O,6,0),"Введите блюдо")</f>
        <v>Лук</v>
      </c>
      <c r="I6" s="104">
        <f>IFERROR($A$4*VLOOKUP(H2,'граммовки'!$A:$O,7,0),"Введите блюдо")</f>
        <v>0</v>
      </c>
      <c r="J6" s="103" t="str">
        <f>IFERROR(VLOOKUP(J2,'граммовки'!$A:$O,6,0),"Введите блюдо")</f>
        <v>Морковь</v>
      </c>
      <c r="K6" s="104">
        <f>IFERROR($A$4*VLOOKUP(J2,'граммовки'!$A:$O,7,0),"Введите блюдо")</f>
        <v>0</v>
      </c>
      <c r="L6" s="103" t="str">
        <f>IFERROR(VLOOKUP(L2,'граммовки'!$A:$O,6,0),"Введите блюдо")</f>
        <v>Редис</v>
      </c>
      <c r="M6" s="104">
        <f>IFERROR($A$4*VLOOKUP(L2,'граммовки'!$A:$O,7,0),"Введите блюдо")</f>
        <v>0</v>
      </c>
      <c r="N6" s="103" t="str">
        <f>IFERROR(VLOOKUP(N2,'граммовки'!$A:$O,6,0),"Введите блюдо")</f>
        <v/>
      </c>
      <c r="O6" s="104">
        <f>IFERROR($A$4*VLOOKUP(N2,'граммовки'!$A:$O,7,0),"Введите блюдо")</f>
        <v>0</v>
      </c>
      <c r="P6" s="103" t="s">
        <v>11</v>
      </c>
      <c r="Q6" s="104">
        <v>500.0</v>
      </c>
    </row>
    <row r="7">
      <c r="A7" s="8"/>
      <c r="B7" s="103" t="str">
        <f>IFERROR(VLOOKUP(B2,'граммовки'!$A:$O,8,0),"Введите блюдо")</f>
        <v>Лук</v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>
        <f>IFERROR($A$4*VLOOKUP(D2,'граммовки'!$A:$O,9,0),"Введите блюдо")</f>
        <v>0</v>
      </c>
      <c r="F7" s="103" t="str">
        <f>IFERROR(VLOOKUP(F2,'граммовки'!$A:$O,8,0),"Введите блюдо")</f>
        <v>Картофель</v>
      </c>
      <c r="G7" s="104">
        <f>IFERROR($A$4*VLOOKUP(F2,'граммовки'!$A:$O,9,0),"Введите блюдо")</f>
        <v>0</v>
      </c>
      <c r="H7" s="103" t="str">
        <f>IFERROR(VLOOKUP(H2,'граммовки'!$A:$O,8,0),"Введите блюдо")</f>
        <v>Морковь</v>
      </c>
      <c r="I7" s="104">
        <f>IFERROR($A$4*VLOOKUP(H2,'граммовки'!$A:$O,9,0),"Введите блюдо")</f>
        <v>0</v>
      </c>
      <c r="J7" s="103" t="str">
        <f>IFERROR(VLOOKUP(J2,'граммовки'!$A:$O,8,0),"Введите блюдо")</f>
        <v>Лук</v>
      </c>
      <c r="K7" s="104">
        <f>IFERROR($A$4*VLOOKUP(J2,'граммовки'!$A:$O,9,0),"Введите блюдо")</f>
        <v>0</v>
      </c>
      <c r="L7" s="103" t="str">
        <f>IFERROR(VLOOKUP(L2,'граммовки'!$A:$O,8,0),"Введите блюдо")</f>
        <v/>
      </c>
      <c r="M7" s="104">
        <f>IFERROR($A$4*VLOOKUP(L2,'граммовки'!$A:$O,9,0),"Введите блюдо")</f>
        <v>0</v>
      </c>
      <c r="N7" s="103" t="str">
        <f>IFERROR(VLOOKUP(N2,'граммовки'!$A:$O,8,0),"Введите блюдо")</f>
        <v/>
      </c>
      <c r="O7" s="104">
        <f>IFERROR($A$4*VLOOKUP(N2,'граммовки'!$A:$O,9,0),"Введите блюдо")</f>
        <v>0</v>
      </c>
      <c r="P7" s="103" t="s">
        <v>12</v>
      </c>
      <c r="Q7" s="104">
        <v>20.0</v>
      </c>
    </row>
    <row r="8">
      <c r="A8" s="8"/>
      <c r="B8" s="103" t="str">
        <f>IFERROR(VLOOKUP(B2,'граммовки'!$A:$O,10,0),"Введите блюдо")</f>
        <v/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>
        <f>IFERROR($A$4*VLOOKUP(D2,'граммовки'!$A:$O,11,0),"Введите блюдо")</f>
        <v>0</v>
      </c>
      <c r="F8" s="103" t="str">
        <f>IFERROR(VLOOKUP(F2,'граммовки'!$A:$O,10,0),"Введите блюдо")</f>
        <v>Заготовка для супа сухая</v>
      </c>
      <c r="G8" s="104">
        <f>IFERROR($A$4*VLOOKUP(F2,'граммовки'!$A:$O,11,0),"Введите блюдо")</f>
        <v>0</v>
      </c>
      <c r="H8" s="103" t="str">
        <f>IFERROR(VLOOKUP(H2,'граммовки'!$A:$O,10,0),"Введите блюдо")</f>
        <v/>
      </c>
      <c r="I8" s="104">
        <f>IFERROR($A$4*VLOOKUP(H2,'граммовки'!$A:$O,11,0),"Введите блюдо")</f>
        <v>0</v>
      </c>
      <c r="J8" s="103" t="str">
        <f>IFERROR(VLOOKUP(J2,'граммовки'!$A:$O,10,0),"Введите блюдо")</f>
        <v>Приправа для плова</v>
      </c>
      <c r="K8" s="104">
        <f>IFERROR($A$4*VLOOKUP(J2,'граммовки'!$A:$O,11,0),"Введите блюдо")</f>
        <v>0</v>
      </c>
      <c r="L8" s="103" t="str">
        <f>IFERROR(VLOOKUP(L2,'граммовки'!$A:$O,10,0),"Введите блюдо")</f>
        <v/>
      </c>
      <c r="M8" s="104">
        <f>IFERROR($A$4*VLOOKUP(L2,'граммовки'!$A:$O,11,0),"Введите блюдо")</f>
        <v>0</v>
      </c>
      <c r="N8" s="103" t="str">
        <f>IFERROR(VLOOKUP(N2,'граммовки'!$A:$O,10,0),"Введите блюдо")</f>
        <v/>
      </c>
      <c r="O8" s="104">
        <f>IFERROR($A$4*VLOOKUP(N2,'граммовки'!$A:$O,11,0),"Введите блюдо")</f>
        <v>0</v>
      </c>
      <c r="P8" s="103" t="s">
        <v>13</v>
      </c>
      <c r="Q8" s="104">
        <v>20.0</v>
      </c>
    </row>
    <row r="9">
      <c r="A9" s="8"/>
      <c r="B9" s="103" t="str">
        <f>IFERROR(VLOOKUP(B2,'граммовки'!$A:$O,12,0),"Введите блюдо")</f>
        <v/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>
        <f>IFERROR($A$4*VLOOKUP(D2,'граммовки'!$A:$O,13,0),"Введите блюдо")</f>
        <v>0</v>
      </c>
      <c r="F9" s="103" t="str">
        <f>IFERROR(VLOOKUP(F2,'граммовки'!$A:$O,12,0),"Введите блюдо")</f>
        <v>Морковь</v>
      </c>
      <c r="G9" s="104">
        <f>IFERROR($A$4*VLOOKUP(F2,'граммовки'!$A:$O,13,0),"Введите блюдо")</f>
        <v>0</v>
      </c>
      <c r="H9" s="103" t="str">
        <f>IFERROR(VLOOKUP(H2,'граммовки'!$A:$O,12,0),"Введите блюдо")</f>
        <v/>
      </c>
      <c r="I9" s="104">
        <f>IFERROR($A$4*VLOOKUP(H2,'граммовки'!$A:$O,13,0),"Введите блюдо")</f>
        <v>0</v>
      </c>
      <c r="J9" s="103" t="str">
        <f>IFERROR(VLOOKUP(J2,'граммовки'!$A:$O,12,0),"Введите блюдо")</f>
        <v/>
      </c>
      <c r="K9" s="104">
        <f>IFERROR($A$4*VLOOKUP(J2,'граммовки'!$A:$O,13,0),"Введите блюдо")</f>
        <v>0</v>
      </c>
      <c r="L9" s="103" t="str">
        <f>IFERROR(VLOOKUP(L2,'граммовки'!$A:$O,12,0),"Введите блюдо")</f>
        <v/>
      </c>
      <c r="M9" s="104">
        <f>IFERROR($A$4*VLOOKUP(L2,'граммовки'!$A:$O,13,0),"Введите блюдо")</f>
        <v>0</v>
      </c>
      <c r="N9" s="103" t="str">
        <f>IFERROR(VLOOKUP(N2,'граммовки'!$A:$O,12,0),"Введите блюдо")</f>
        <v/>
      </c>
      <c r="O9" s="104">
        <f>IFERROR($A$4*VLOOKUP(N2,'граммовки'!$A:$O,13,0),"Введите блюдо")</f>
        <v>0</v>
      </c>
      <c r="P9" s="103" t="s">
        <v>14</v>
      </c>
      <c r="Q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>
        <f>IFERROR($A$4*VLOOKUP(D2,'граммовки'!$A:$O,15,0),"Введите блюдо")</f>
        <v>0</v>
      </c>
      <c r="F10" s="103" t="str">
        <f>IFERROR(VLOOKUP(F2,'граммовки'!$A:$O,14,0),"Введите блюдо")</f>
        <v/>
      </c>
      <c r="G10" s="104">
        <f>IFERROR($A$4*VLOOKUP(F2,'граммовки'!$A:$O,15,0),"Введите блюдо")</f>
        <v>0</v>
      </c>
      <c r="H10" s="103" t="str">
        <f>IFERROR(VLOOKUP(H2,'граммовки'!$A:$O,14,0),"Введите блюдо")</f>
        <v/>
      </c>
      <c r="I10" s="104">
        <f>IFERROR($A$4*VLOOKUP(H2,'граммовки'!$A:$O,15,0),"Введите блюдо")</f>
        <v>0</v>
      </c>
      <c r="J10" s="103" t="str">
        <f>IFERROR(VLOOKUP(J2,'граммовки'!$A:$O,14,0),"Введите блюдо")</f>
        <v/>
      </c>
      <c r="K10" s="104">
        <f>IFERROR($A$4*VLOOKUP(J2,'граммовки'!$A:$O,15,0),"Введите блюдо")</f>
        <v>0</v>
      </c>
      <c r="L10" s="103" t="str">
        <f>IFERROR(VLOOKUP(L2,'граммовки'!$A:$O,14,0),"Введите блюдо")</f>
        <v/>
      </c>
      <c r="M10" s="104">
        <f>IFERROR($A$4*VLOOKUP(L2,'граммовки'!$A:$O,15,0),"Введите блюдо")</f>
        <v>0</v>
      </c>
      <c r="N10" s="103" t="str">
        <f>IFERROR(VLOOKUP(N2,'граммовки'!$A:$O,14,0),"Введите блюдо")</f>
        <v/>
      </c>
      <c r="O10" s="104">
        <f>IFERROR($A$4*VLOOKUP(N2,'граммовки'!$A:$O,15,0),"Введите блюдо")</f>
        <v>0</v>
      </c>
      <c r="P10" s="107" t="s">
        <v>16</v>
      </c>
      <c r="Q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>
        <f>IFERROR($A$4*VLOOKUP(D2,'граммовки'!$A:$T,17,0),"Введите блюдо")</f>
        <v>0</v>
      </c>
      <c r="F11" s="107" t="str">
        <f>IFERROR(VLOOKUP(F2,'граммовки'!$A:$T,16,0),"Введите блюдо")</f>
        <v/>
      </c>
      <c r="G11" s="108">
        <f>IFERROR($A$4*VLOOKUP(F2,'граммовки'!$A:$T,17,0),"Введите блюдо")</f>
        <v>0</v>
      </c>
      <c r="H11" s="107" t="str">
        <f>IFERROR(VLOOKUP(H2,'граммовки'!$A:$T,16,0),"Введите блюдо")</f>
        <v/>
      </c>
      <c r="I11" s="108">
        <f>IFERROR($A$4*VLOOKUP(H2,'граммовки'!$A:$T,17,0),"Введите блюдо")</f>
        <v>0</v>
      </c>
      <c r="J11" s="107" t="str">
        <f>IFERROR(VLOOKUP(J2,'граммовки'!$A:$T,16,0),"Введите блюдо")</f>
        <v/>
      </c>
      <c r="K11" s="108">
        <f>IFERROR($A$4*VLOOKUP(J2,'граммовки'!$A:$T,17,0),"Введите блюдо")</f>
        <v>0</v>
      </c>
      <c r="L11" s="107" t="str">
        <f>IFERROR(VLOOKUP(L2,'граммовки'!$A:$T,16,0),"Введите блюдо")</f>
        <v/>
      </c>
      <c r="M11" s="108">
        <f>IFERROR($A$4*VLOOKUP(L2,'граммовки'!$A:$T,17,0),"Введите блюдо")</f>
        <v>0</v>
      </c>
      <c r="N11" s="107" t="str">
        <f>IFERROR(VLOOKUP(N2,'граммовки'!$A:$T,16,0),"Введите блюдо")</f>
        <v/>
      </c>
      <c r="O11" s="108">
        <f>IFERROR($A$4*VLOOKUP(N2,'граммовки'!$A:$T,17,0),"Введите блюдо")</f>
        <v>0</v>
      </c>
      <c r="P11" s="8"/>
      <c r="Q11" s="8"/>
    </row>
  </sheetData>
  <mergeCells count="15">
    <mergeCell ref="B1:C1"/>
    <mergeCell ref="B2:C2"/>
    <mergeCell ref="D2:E2"/>
    <mergeCell ref="F2:G2"/>
    <mergeCell ref="H2:I2"/>
    <mergeCell ref="J2:K2"/>
    <mergeCell ref="L2:M2"/>
    <mergeCell ref="N2:O2"/>
    <mergeCell ref="D1:E1"/>
    <mergeCell ref="F1:G1"/>
    <mergeCell ref="H1:I1"/>
    <mergeCell ref="J1:K1"/>
    <mergeCell ref="L1:M1"/>
    <mergeCell ref="N1:O1"/>
    <mergeCell ref="P1:Q1"/>
  </mergeCells>
  <dataValidations>
    <dataValidation type="list" allowBlank="1" showErrorMessage="1" sqref="B2 D2 F2 H2 J2 L2 N2">
      <formula1>'граммовки'!$A$2:$A$60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0"/>
    <col customWidth="1" min="16" max="16" width="14.13"/>
  </cols>
  <sheetData>
    <row r="1">
      <c r="A1" s="89" t="s">
        <v>126</v>
      </c>
      <c r="B1" s="118" t="s">
        <v>132</v>
      </c>
      <c r="C1" s="91"/>
      <c r="D1" s="118" t="s">
        <v>132</v>
      </c>
      <c r="E1" s="91"/>
      <c r="F1" s="119" t="s">
        <v>133</v>
      </c>
      <c r="G1" s="91"/>
      <c r="H1" s="119" t="s">
        <v>133</v>
      </c>
      <c r="I1" s="91"/>
      <c r="J1" s="90" t="s">
        <v>127</v>
      </c>
      <c r="K1" s="91"/>
      <c r="L1" s="90" t="s">
        <v>127</v>
      </c>
      <c r="M1" s="91"/>
      <c r="N1" s="120" t="s">
        <v>134</v>
      </c>
      <c r="O1" s="91"/>
      <c r="P1" s="92" t="s">
        <v>128</v>
      </c>
      <c r="Q1" s="91"/>
    </row>
    <row r="2">
      <c r="A2" s="121"/>
      <c r="B2" s="122" t="s">
        <v>100</v>
      </c>
      <c r="C2" s="95"/>
      <c r="D2" s="122" t="s">
        <v>102</v>
      </c>
      <c r="E2" s="95"/>
      <c r="F2" s="122" t="s">
        <v>109</v>
      </c>
      <c r="G2" s="95"/>
      <c r="H2" s="122" t="s">
        <v>119</v>
      </c>
      <c r="I2" s="95"/>
      <c r="J2" s="122" t="s">
        <v>117</v>
      </c>
      <c r="K2" s="95"/>
      <c r="L2" s="122" t="s">
        <v>120</v>
      </c>
      <c r="M2" s="95"/>
      <c r="N2" s="94" t="s">
        <v>123</v>
      </c>
      <c r="O2" s="95"/>
      <c r="P2" s="101" t="s">
        <v>129</v>
      </c>
      <c r="Q2" s="102" t="s">
        <v>130</v>
      </c>
    </row>
    <row r="3">
      <c r="A3" s="123"/>
      <c r="B3" s="101" t="s">
        <v>129</v>
      </c>
      <c r="C3" s="102" t="s">
        <v>131</v>
      </c>
      <c r="D3" s="101" t="s">
        <v>129</v>
      </c>
      <c r="E3" s="102" t="s">
        <v>131</v>
      </c>
      <c r="F3" s="101" t="s">
        <v>129</v>
      </c>
      <c r="G3" s="102" t="s">
        <v>131</v>
      </c>
      <c r="H3" s="101" t="s">
        <v>129</v>
      </c>
      <c r="I3" s="102" t="s">
        <v>131</v>
      </c>
      <c r="J3" s="101" t="s">
        <v>129</v>
      </c>
      <c r="K3" s="102" t="s">
        <v>131</v>
      </c>
      <c r="L3" s="101" t="s">
        <v>129</v>
      </c>
      <c r="M3" s="102" t="s">
        <v>131</v>
      </c>
      <c r="N3" s="101" t="s">
        <v>129</v>
      </c>
      <c r="O3" s="102" t="s">
        <v>131</v>
      </c>
      <c r="P3" s="103" t="s">
        <v>7</v>
      </c>
      <c r="Q3" s="104">
        <v>130.0</v>
      </c>
    </row>
    <row r="4">
      <c r="A4" s="124"/>
      <c r="B4" s="106" t="str">
        <f>IFERROR(VLOOKUP(B2,'граммовки'!$A:$O,2,0),"Введите блюдо")</f>
        <v>Рис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Хлеб</v>
      </c>
      <c r="E4" s="104">
        <f>IFERROR($A$4*VLOOKUP(D2,'граммовки'!$A:$O,3,0),"Введите блюдо")</f>
        <v>0</v>
      </c>
      <c r="F4" s="106" t="str">
        <f>IFERROR(VLOOKUP(F2,'граммовки'!$A:$O,2,0),"Введите блюдо")</f>
        <v>Томатная паста </v>
      </c>
      <c r="G4" s="104">
        <f>IFERROR($A$4*VLOOKUP(F2,'граммовки'!$A:$O,3,0),"Введите блюдо")</f>
        <v>0</v>
      </c>
      <c r="H4" s="106" t="str">
        <f>IFERROR(VLOOKUP(H2,'граммовки'!$A:$O,2,0),"Введите блюдо")</f>
        <v>Булгур</v>
      </c>
      <c r="I4" s="104">
        <f>IFERROR($A$4*VLOOKUP(H2,'граммовки'!$A:$O,3,0),"Введите блюдо")</f>
        <v>0</v>
      </c>
      <c r="J4" s="106" t="str">
        <f>IFERROR(VLOOKUP(J2,'граммовки'!$A:$O,2,0),"Введите блюдо")</f>
        <v>Картофель</v>
      </c>
      <c r="K4" s="104">
        <f>IFERROR($A$4*VLOOKUP(J2,'граммовки'!$A:$O,3,0),"Введите блюдо")</f>
        <v>0</v>
      </c>
      <c r="L4" s="106" t="str">
        <f>IFERROR(VLOOKUP(L2,'граммовки'!$A:$O,2,0),"Введите блюдо")</f>
        <v>Капуста</v>
      </c>
      <c r="M4" s="104">
        <f>IFERROR($A$4*VLOOKUP(L2,'граммовки'!$A:$O,3,0),"Введите блюдо")</f>
        <v>0</v>
      </c>
      <c r="N4" s="106" t="str">
        <f>IFERROR(VLOOKUP(N2,'граммовки'!$A:$O,2,0),"Введите блюдо")</f>
        <v>Яблоки (и др сезонные фрукты)</v>
      </c>
      <c r="O4" s="104">
        <f>IFERROR($A$4*VLOOKUP(N2,'граммовки'!$A:$O,3,0),"Введите блюдо")</f>
        <v>0</v>
      </c>
      <c r="P4" s="103" t="s">
        <v>9</v>
      </c>
      <c r="Q4" s="104">
        <v>0.0</v>
      </c>
    </row>
    <row r="5">
      <c r="A5" s="8"/>
      <c r="B5" s="103" t="str">
        <f>IFERROR(VLOOKUP(B2,'граммовки'!$A:$O,4,0),"Введите блюдо")</f>
        <v>Сгущёнка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Плавленный сыр</v>
      </c>
      <c r="E5" s="104">
        <f>IFERROR($A$4*VLOOKUP(D2,'граммовки'!$A:$O,5,0),"Введите блюдо")</f>
        <v>0</v>
      </c>
      <c r="F5" s="103" t="str">
        <f>IFERROR(VLOOKUP(F2,'граммовки'!$A:$O,4,0),"Введите блюдо")</f>
        <v>Говядина тушёная</v>
      </c>
      <c r="G5" s="104">
        <f>IFERROR($A$4*VLOOKUP(F2,'граммовки'!$A:$O,5,0),"Введите блюдо")</f>
        <v>0</v>
      </c>
      <c r="H5" s="103" t="str">
        <f>IFERROR(VLOOKUP(H2,'граммовки'!$A:$O,4,0),"Введите блюдо")</f>
        <v>Говядина тушёная</v>
      </c>
      <c r="I5" s="104">
        <f>IFERROR($A$4*VLOOKUP(H2,'граммовки'!$A:$O,5,0),"Введите блюдо")</f>
        <v>0</v>
      </c>
      <c r="J5" s="103" t="str">
        <f>IFERROR(VLOOKUP(J2,'граммовки'!$A:$O,4,0),"Введите блюдо")</f>
        <v>Говядина тушёная</v>
      </c>
      <c r="K5" s="104">
        <f>IFERROR($A$4*VLOOKUP(J2,'граммовки'!$A:$O,5,0),"Введите блюдо")</f>
        <v>0</v>
      </c>
      <c r="L5" s="103" t="str">
        <f>IFERROR(VLOOKUP(L2,'граммовки'!$A:$O,4,0),"Введите блюдо")</f>
        <v>Морковь</v>
      </c>
      <c r="M5" s="104">
        <f>IFERROR($A$4*VLOOKUP(L2,'граммовки'!$A:$O,5,0),"Введите блюдо")</f>
        <v>0</v>
      </c>
      <c r="N5" s="103" t="str">
        <f>IFERROR(VLOOKUP(N2,'граммовки'!$A:$O,4,0),"Введите блюдо")</f>
        <v>Мука </v>
      </c>
      <c r="O5" s="104">
        <f>IFERROR($A$4*VLOOKUP(N2,'граммовки'!$A:$O,5,0),"Введите блюдо")</f>
        <v>0</v>
      </c>
      <c r="P5" s="103" t="s">
        <v>10</v>
      </c>
      <c r="Q5" s="104">
        <v>100.0</v>
      </c>
    </row>
    <row r="6">
      <c r="A6" s="8"/>
      <c r="B6" s="103" t="str">
        <f>IFERROR(VLOOKUP(B2,'граммовки'!$A:$O,6,0),"Введите блюдо")</f>
        <v>Молоко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>Огурцы</v>
      </c>
      <c r="E6" s="104">
        <f>IFERROR($A$4*VLOOKUP(D2,'граммовки'!$A:$O,7,0),"Введите блюдо")</f>
        <v>0</v>
      </c>
      <c r="F6" s="103" t="str">
        <f>IFERROR(VLOOKUP(F2,'граммовки'!$A:$O,6,0),"Введите блюдо")</f>
        <v>Лук</v>
      </c>
      <c r="G6" s="104">
        <f>IFERROR($A$4*VLOOKUP(F2,'граммовки'!$A:$O,7,0),"Введите блюдо")</f>
        <v>0</v>
      </c>
      <c r="H6" s="103" t="str">
        <f>IFERROR(VLOOKUP(H2,'граммовки'!$A:$O,6,0),"Введите блюдо")</f>
        <v>Томатная паста </v>
      </c>
      <c r="I6" s="104">
        <f>IFERROR($A$4*VLOOKUP(H2,'граммовки'!$A:$O,7,0),"Введите блюдо")</f>
        <v>0</v>
      </c>
      <c r="J6" s="103" t="str">
        <f>IFERROR(VLOOKUP(J2,'граммовки'!$A:$O,6,0),"Введите блюдо")</f>
        <v>Сыр твердый</v>
      </c>
      <c r="K6" s="104">
        <f>IFERROR($A$4*VLOOKUP(J2,'граммовки'!$A:$O,7,0),"Введите блюдо")</f>
        <v>0</v>
      </c>
      <c r="L6" s="103" t="str">
        <f>IFERROR(VLOOKUP(L2,'граммовки'!$A:$O,6,0),"Введите блюдо")</f>
        <v/>
      </c>
      <c r="M6" s="104">
        <f>IFERROR($A$4*VLOOKUP(L2,'граммовки'!$A:$O,7,0),"Введите блюдо")</f>
        <v>0</v>
      </c>
      <c r="N6" s="103" t="str">
        <f>IFERROR(VLOOKUP(N2,'граммовки'!$A:$O,6,0),"Введите блюдо")</f>
        <v>Сахар</v>
      </c>
      <c r="O6" s="104">
        <f>IFERROR($A$4*VLOOKUP(N2,'граммовки'!$A:$O,7,0),"Введите блюдо")</f>
        <v>0</v>
      </c>
      <c r="P6" s="103" t="s">
        <v>11</v>
      </c>
      <c r="Q6" s="104">
        <v>500.0</v>
      </c>
    </row>
    <row r="7">
      <c r="A7" s="8"/>
      <c r="B7" s="103" t="str">
        <f>IFERROR(VLOOKUP(B2,'граммовки'!$A:$O,8,0),"Введите блюдо")</f>
        <v/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>
        <f>IFERROR($A$4*VLOOKUP(D2,'граммовки'!$A:$O,9,0),"Введите блюдо")</f>
        <v>0</v>
      </c>
      <c r="F7" s="103" t="str">
        <f>IFERROR(VLOOKUP(F2,'граммовки'!$A:$O,8,0),"Введите блюдо")</f>
        <v>Морковь</v>
      </c>
      <c r="G7" s="104">
        <f>IFERROR($A$4*VLOOKUP(F2,'граммовки'!$A:$O,9,0),"Введите блюдо")</f>
        <v>0</v>
      </c>
      <c r="H7" s="103" t="str">
        <f>IFERROR(VLOOKUP(H2,'граммовки'!$A:$O,8,0),"Введите блюдо")</f>
        <v>Морковь</v>
      </c>
      <c r="I7" s="104">
        <f>IFERROR($A$4*VLOOKUP(H2,'граммовки'!$A:$O,9,0),"Введите блюдо")</f>
        <v>0</v>
      </c>
      <c r="J7" s="103" t="str">
        <f>IFERROR(VLOOKUP(J2,'граммовки'!$A:$O,8,0),"Введите блюдо")</f>
        <v>Лук</v>
      </c>
      <c r="K7" s="104">
        <f>IFERROR($A$4*VLOOKUP(J2,'граммовки'!$A:$O,9,0),"Введите блюдо")</f>
        <v>0</v>
      </c>
      <c r="L7" s="103" t="str">
        <f>IFERROR(VLOOKUP(L2,'граммовки'!$A:$O,8,0),"Введите блюдо")</f>
        <v/>
      </c>
      <c r="M7" s="104">
        <f>IFERROR($A$4*VLOOKUP(L2,'граммовки'!$A:$O,9,0),"Введите блюдо")</f>
        <v>0</v>
      </c>
      <c r="N7" s="103" t="str">
        <f>IFERROR(VLOOKUP(N2,'граммовки'!$A:$O,8,0),"Введите блюдо")</f>
        <v>Разрыхлитель</v>
      </c>
      <c r="O7" s="104">
        <f>IFERROR($A$4*VLOOKUP(N2,'граммовки'!$A:$O,9,0),"Введите блюдо")</f>
        <v>0</v>
      </c>
      <c r="P7" s="103" t="s">
        <v>12</v>
      </c>
      <c r="Q7" s="104">
        <v>20.0</v>
      </c>
    </row>
    <row r="8">
      <c r="A8" s="8"/>
      <c r="B8" s="103" t="str">
        <f>IFERROR(VLOOKUP(B2,'граммовки'!$A:$O,10,0),"Введите блюдо")</f>
        <v/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>
        <f>IFERROR($A$4*VLOOKUP(D2,'граммовки'!$A:$O,11,0),"Введите блюдо")</f>
        <v>0</v>
      </c>
      <c r="F8" s="103" t="str">
        <f>IFERROR(VLOOKUP(F2,'граммовки'!$A:$O,10,0),"Введите блюдо")</f>
        <v>Фасоль</v>
      </c>
      <c r="G8" s="104">
        <f>IFERROR($A$4*VLOOKUP(F2,'граммовки'!$A:$O,11,0),"Введите блюдо")</f>
        <v>0</v>
      </c>
      <c r="H8" s="103" t="str">
        <f>IFERROR(VLOOKUP(H2,'граммовки'!$A:$O,10,0),"Введите блюдо")</f>
        <v>Лук</v>
      </c>
      <c r="I8" s="104">
        <f>IFERROR($A$4*VLOOKUP(H2,'граммовки'!$A:$O,11,0),"Введите блюдо")</f>
        <v>0</v>
      </c>
      <c r="J8" s="103" t="str">
        <f>IFERROR(VLOOKUP(J2,'граммовки'!$A:$O,10,0),"Введите блюдо")</f>
        <v>Морковь</v>
      </c>
      <c r="K8" s="104">
        <f>IFERROR($A$4*VLOOKUP(J2,'граммовки'!$A:$O,11,0),"Введите блюдо")</f>
        <v>0</v>
      </c>
      <c r="L8" s="103" t="str">
        <f>IFERROR(VLOOKUP(L2,'граммовки'!$A:$O,10,0),"Введите блюдо")</f>
        <v/>
      </c>
      <c r="M8" s="104">
        <f>IFERROR($A$4*VLOOKUP(L2,'граммовки'!$A:$O,11,0),"Введите блюдо")</f>
        <v>0</v>
      </c>
      <c r="N8" s="103" t="str">
        <f>IFERROR(VLOOKUP(N2,'граммовки'!$A:$O,10,0),"Введите блюдо")</f>
        <v>Яйца (30 шт)</v>
      </c>
      <c r="O8" s="104">
        <f>IFERROR($A$4*VLOOKUP(N2,'граммовки'!$A:$O,11,0),"Введите блюдо")</f>
        <v>0</v>
      </c>
      <c r="P8" s="103" t="s">
        <v>13</v>
      </c>
      <c r="Q8" s="104">
        <v>20.0</v>
      </c>
    </row>
    <row r="9">
      <c r="A9" s="8"/>
      <c r="B9" s="103" t="str">
        <f>IFERROR(VLOOKUP(B2,'граммовки'!$A:$O,12,0),"Введите блюдо")</f>
        <v/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>
        <f>IFERROR($A$4*VLOOKUP(D2,'граммовки'!$A:$O,13,0),"Введите блюдо")</f>
        <v>0</v>
      </c>
      <c r="F9" s="103" t="str">
        <f>IFERROR(VLOOKUP(F2,'граммовки'!$A:$O,12,0),"Введите блюдо")</f>
        <v>Картофель</v>
      </c>
      <c r="G9" s="104">
        <f>IFERROR($A$4*VLOOKUP(F2,'граммовки'!$A:$O,13,0),"Введите блюдо")</f>
        <v>0</v>
      </c>
      <c r="H9" s="103" t="str">
        <f>IFERROR(VLOOKUP(H2,'граммовки'!$A:$O,12,0),"Введите блюдо")</f>
        <v/>
      </c>
      <c r="I9" s="104">
        <f>IFERROR($A$4*VLOOKUP(H2,'граммовки'!$A:$O,13,0),"Введите блюдо")</f>
        <v>0</v>
      </c>
      <c r="J9" s="103" t="str">
        <f>IFERROR(VLOOKUP(J2,'граммовки'!$A:$O,12,0),"Введите блюдо")</f>
        <v/>
      </c>
      <c r="K9" s="104">
        <f>IFERROR($A$4*VLOOKUP(J2,'граммовки'!$A:$O,13,0),"Введите блюдо")</f>
        <v>0</v>
      </c>
      <c r="L9" s="103" t="str">
        <f>IFERROR(VLOOKUP(L2,'граммовки'!$A:$O,12,0),"Введите блюдо")</f>
        <v/>
      </c>
      <c r="M9" s="104">
        <f>IFERROR($A$4*VLOOKUP(L2,'граммовки'!$A:$O,13,0),"Введите блюдо")</f>
        <v>0</v>
      </c>
      <c r="N9" s="103" t="str">
        <f>IFERROR(VLOOKUP(N2,'граммовки'!$A:$O,12,0),"Введите блюдо")</f>
        <v/>
      </c>
      <c r="O9" s="104">
        <f>IFERROR($A$4*VLOOKUP(N2,'граммовки'!$A:$O,13,0),"Введите блюдо")</f>
        <v>0</v>
      </c>
      <c r="P9" s="103" t="s">
        <v>14</v>
      </c>
      <c r="Q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>
        <f>IFERROR($A$4*VLOOKUP(D2,'граммовки'!$A:$O,15,0),"Введите блюдо")</f>
        <v>0</v>
      </c>
      <c r="F10" s="103" t="str">
        <f>IFERROR(VLOOKUP(F2,'граммовки'!$A:$O,14,0),"Введите блюдо")</f>
        <v>Заготовка для супа сухая</v>
      </c>
      <c r="G10" s="104">
        <f>IFERROR($A$4*VLOOKUP(F2,'граммовки'!$A:$O,15,0),"Введите блюдо")</f>
        <v>0</v>
      </c>
      <c r="H10" s="103" t="str">
        <f>IFERROR(VLOOKUP(H2,'граммовки'!$A:$O,14,0),"Введите блюдо")</f>
        <v/>
      </c>
      <c r="I10" s="104">
        <f>IFERROR($A$4*VLOOKUP(H2,'граммовки'!$A:$O,15,0),"Введите блюдо")</f>
        <v>0</v>
      </c>
      <c r="J10" s="103" t="str">
        <f>IFERROR(VLOOKUP(J2,'граммовки'!$A:$O,14,0),"Введите блюдо")</f>
        <v/>
      </c>
      <c r="K10" s="104">
        <f>IFERROR($A$4*VLOOKUP(J2,'граммовки'!$A:$O,15,0),"Введите блюдо")</f>
        <v>0</v>
      </c>
      <c r="L10" s="103" t="str">
        <f>IFERROR(VLOOKUP(L2,'граммовки'!$A:$O,14,0),"Введите блюдо")</f>
        <v/>
      </c>
      <c r="M10" s="104">
        <f>IFERROR($A$4*VLOOKUP(L2,'граммовки'!$A:$O,15,0),"Введите блюдо")</f>
        <v>0</v>
      </c>
      <c r="N10" s="103" t="str">
        <f>IFERROR(VLOOKUP(N2,'граммовки'!$A:$O,14,0),"Введите блюдо")</f>
        <v/>
      </c>
      <c r="O10" s="104">
        <f>IFERROR($A$4*VLOOKUP(N2,'граммовки'!$A:$O,15,0),"Введите блюдо")</f>
        <v>0</v>
      </c>
      <c r="P10" s="107" t="s">
        <v>16</v>
      </c>
      <c r="Q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>
        <f>IFERROR($A$4*VLOOKUP(D2,'граммовки'!$A:$T,17,0),"Введите блюдо")</f>
        <v>0</v>
      </c>
      <c r="F11" s="107" t="str">
        <f>IFERROR(VLOOKUP(F2,'граммовки'!$A:$T,16,0),"Введите блюдо")</f>
        <v/>
      </c>
      <c r="G11" s="108">
        <f>IFERROR($A$4*VLOOKUP(F2,'граммовки'!$A:$T,17,0),"Введите блюдо")</f>
        <v>0</v>
      </c>
      <c r="H11" s="107" t="str">
        <f>IFERROR(VLOOKUP(H2,'граммовки'!$A:$T,16,0),"Введите блюдо")</f>
        <v/>
      </c>
      <c r="I11" s="108">
        <f>IFERROR($A$4*VLOOKUP(H2,'граммовки'!$A:$T,17,0),"Введите блюдо")</f>
        <v>0</v>
      </c>
      <c r="J11" s="107" t="str">
        <f>IFERROR(VLOOKUP(J2,'граммовки'!$A:$T,16,0),"Введите блюдо")</f>
        <v/>
      </c>
      <c r="K11" s="108">
        <f>IFERROR($A$4*VLOOKUP(J2,'граммовки'!$A:$T,17,0),"Введите блюдо")</f>
        <v>0</v>
      </c>
      <c r="L11" s="107" t="str">
        <f>IFERROR(VLOOKUP(L2,'граммовки'!$A:$T,16,0),"Введите блюдо")</f>
        <v/>
      </c>
      <c r="M11" s="108">
        <f>IFERROR($A$4*VLOOKUP(L2,'граммовки'!$A:$T,17,0),"Введите блюдо")</f>
        <v>0</v>
      </c>
      <c r="N11" s="107" t="str">
        <f>IFERROR(VLOOKUP(N2,'граммовки'!$A:$T,16,0),"Введите блюдо")</f>
        <v/>
      </c>
      <c r="O11" s="108">
        <f>IFERROR($A$4*VLOOKUP(N2,'граммовки'!$A:$T,17,0),"Введите блюдо")</f>
        <v>0</v>
      </c>
      <c r="P11" s="8"/>
      <c r="Q11" s="8"/>
    </row>
  </sheetData>
  <mergeCells count="15">
    <mergeCell ref="B1:C1"/>
    <mergeCell ref="B2:C2"/>
    <mergeCell ref="D2:E2"/>
    <mergeCell ref="F2:G2"/>
    <mergeCell ref="H2:I2"/>
    <mergeCell ref="J2:K2"/>
    <mergeCell ref="L2:M2"/>
    <mergeCell ref="N2:O2"/>
    <mergeCell ref="D1:E1"/>
    <mergeCell ref="F1:G1"/>
    <mergeCell ref="H1:I1"/>
    <mergeCell ref="J1:K1"/>
    <mergeCell ref="L1:M1"/>
    <mergeCell ref="N1:O1"/>
    <mergeCell ref="P1:Q1"/>
  </mergeCells>
  <dataValidations>
    <dataValidation type="list" allowBlank="1" showErrorMessage="1" sqref="B2 D2 F2 H2 J2 L2 N2">
      <formula1>'граммовки'!$A$2:$A$60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13"/>
  </cols>
  <sheetData>
    <row r="1">
      <c r="A1" s="89" t="s">
        <v>126</v>
      </c>
      <c r="B1" s="118" t="s">
        <v>132</v>
      </c>
      <c r="C1" s="91"/>
      <c r="D1" s="118" t="s">
        <v>132</v>
      </c>
      <c r="E1" s="91"/>
      <c r="F1" s="119" t="s">
        <v>133</v>
      </c>
      <c r="G1" s="91"/>
      <c r="H1" s="119" t="s">
        <v>133</v>
      </c>
      <c r="I1" s="91"/>
      <c r="J1" s="90" t="s">
        <v>127</v>
      </c>
      <c r="K1" s="91"/>
      <c r="L1" s="90" t="s">
        <v>127</v>
      </c>
      <c r="M1" s="91"/>
      <c r="N1" s="120" t="s">
        <v>134</v>
      </c>
      <c r="O1" s="91"/>
      <c r="P1" s="92" t="s">
        <v>128</v>
      </c>
      <c r="Q1" s="91"/>
    </row>
    <row r="2">
      <c r="A2" s="121"/>
      <c r="B2" s="122" t="s">
        <v>106</v>
      </c>
      <c r="C2" s="95"/>
      <c r="D2" s="122" t="s">
        <v>103</v>
      </c>
      <c r="E2" s="95"/>
      <c r="F2" s="122" t="s">
        <v>111</v>
      </c>
      <c r="G2" s="95"/>
      <c r="H2" s="122" t="s">
        <v>112</v>
      </c>
      <c r="I2" s="95"/>
      <c r="J2" s="122" t="s">
        <v>113</v>
      </c>
      <c r="K2" s="95"/>
      <c r="L2" s="125" t="s">
        <v>121</v>
      </c>
      <c r="M2" s="95"/>
      <c r="N2" s="94" t="s">
        <v>105</v>
      </c>
      <c r="O2" s="95"/>
      <c r="P2" s="101" t="s">
        <v>129</v>
      </c>
      <c r="Q2" s="102" t="s">
        <v>130</v>
      </c>
    </row>
    <row r="3">
      <c r="A3" s="123"/>
      <c r="B3" s="101" t="s">
        <v>129</v>
      </c>
      <c r="C3" s="102" t="s">
        <v>131</v>
      </c>
      <c r="D3" s="101" t="s">
        <v>129</v>
      </c>
      <c r="E3" s="102" t="s">
        <v>131</v>
      </c>
      <c r="F3" s="101" t="s">
        <v>129</v>
      </c>
      <c r="G3" s="102" t="s">
        <v>131</v>
      </c>
      <c r="H3" s="101" t="s">
        <v>129</v>
      </c>
      <c r="I3" s="102" t="s">
        <v>131</v>
      </c>
      <c r="J3" s="101" t="s">
        <v>129</v>
      </c>
      <c r="K3" s="102" t="s">
        <v>131</v>
      </c>
      <c r="L3" s="101" t="s">
        <v>129</v>
      </c>
      <c r="M3" s="102" t="s">
        <v>131</v>
      </c>
      <c r="N3" s="101" t="s">
        <v>129</v>
      </c>
      <c r="O3" s="102" t="s">
        <v>131</v>
      </c>
      <c r="P3" s="103" t="s">
        <v>7</v>
      </c>
      <c r="Q3" s="104">
        <v>130.0</v>
      </c>
    </row>
    <row r="4">
      <c r="A4" s="124"/>
      <c r="B4" s="106" t="str">
        <f>IFERROR(VLOOKUP(B2,'граммовки'!$A:$O,2,0),"Введите блюдо")</f>
        <v>Яйца (30 шт)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Хлеб</v>
      </c>
      <c r="E4" s="104">
        <f>IFERROR($A$4*VLOOKUP(D2,'граммовки'!$A:$O,3,0),"Введите блюдо")</f>
        <v>0</v>
      </c>
      <c r="F4" s="106" t="str">
        <f>IFERROR(VLOOKUP(F2,'граммовки'!$A:$O,2,0),"Введите блюдо")</f>
        <v>Плавленный сыр</v>
      </c>
      <c r="G4" s="104">
        <f>IFERROR($A$4*VLOOKUP(F2,'граммовки'!$A:$O,3,0),"Введите блюдо")</f>
        <v>0</v>
      </c>
      <c r="H4" s="106" t="str">
        <f>IFERROR(VLOOKUP(H2,'граммовки'!$A:$O,2,0),"Введите блюдо")</f>
        <v>Макароны</v>
      </c>
      <c r="I4" s="104">
        <f>IFERROR($A$4*VLOOKUP(H2,'граммовки'!$A:$O,3,0),"Введите блюдо")</f>
        <v>0</v>
      </c>
      <c r="J4" s="106" t="str">
        <f>IFERROR(VLOOKUP(J2,'граммовки'!$A:$O,2,0),"Введите блюдо")</f>
        <v>Гречневая крупа</v>
      </c>
      <c r="K4" s="104">
        <f>IFERROR($A$4*VLOOKUP(J2,'граммовки'!$A:$O,3,0),"Введите блюдо")</f>
        <v>0</v>
      </c>
      <c r="L4" s="106" t="str">
        <f>IFERROR(VLOOKUP(L2,'граммовки'!$A:$O,2,0),"Введите блюдо")</f>
        <v>Огурцы</v>
      </c>
      <c r="M4" s="104">
        <f>IFERROR($A$4*VLOOKUP(L2,'граммовки'!$A:$O,3,0),"Введите блюдо")</f>
        <v>0</v>
      </c>
      <c r="N4" s="106" t="str">
        <f>IFERROR(VLOOKUP(N2,'граммовки'!$A:$O,2,0),"Введите блюдо")</f>
        <v>Хлеб</v>
      </c>
      <c r="O4" s="104">
        <f>IFERROR($A$4*VLOOKUP(N2,'граммовки'!$A:$O,3,0),"Введите блюдо")</f>
        <v>0</v>
      </c>
      <c r="P4" s="103" t="s">
        <v>9</v>
      </c>
      <c r="Q4" s="104">
        <v>0.0</v>
      </c>
    </row>
    <row r="5">
      <c r="A5" s="8"/>
      <c r="B5" s="103" t="str">
        <f>IFERROR(VLOOKUP(B2,'граммовки'!$A:$O,4,0),"Введите блюдо")</f>
        <v>Сосиски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Плавленный сыр</v>
      </c>
      <c r="E5" s="104">
        <f>IFERROR($A$4*VLOOKUP(D2,'граммовки'!$A:$O,5,0),"Введите блюдо")</f>
        <v>0</v>
      </c>
      <c r="F5" s="103" t="str">
        <f>IFERROR(VLOOKUP(F2,'граммовки'!$A:$O,4,0),"Введите блюдо")</f>
        <v>Охотничьи сосиски</v>
      </c>
      <c r="G5" s="104">
        <f>IFERROR($A$4*VLOOKUP(F2,'граммовки'!$A:$O,5,0),"Введите блюдо")</f>
        <v>0</v>
      </c>
      <c r="H5" s="103" t="str">
        <f>IFERROR(VLOOKUP(H2,'граммовки'!$A:$O,4,0),"Введите блюдо")</f>
        <v>Говядина тушёная</v>
      </c>
      <c r="I5" s="104">
        <f>IFERROR($A$4*VLOOKUP(H2,'граммовки'!$A:$O,5,0),"Введите блюдо")</f>
        <v>0</v>
      </c>
      <c r="J5" s="103" t="str">
        <f>IFERROR(VLOOKUP(J2,'граммовки'!$A:$O,4,0),"Введите блюдо")</f>
        <v>Говядина тушёная</v>
      </c>
      <c r="K5" s="104">
        <f>IFERROR($A$4*VLOOKUP(J2,'граммовки'!$A:$O,5,0),"Введите блюдо")</f>
        <v>0</v>
      </c>
      <c r="L5" s="103" t="str">
        <f>IFERROR(VLOOKUP(L2,'граммовки'!$A:$O,4,0),"Введите блюдо")</f>
        <v>Помидоры</v>
      </c>
      <c r="M5" s="104">
        <f>IFERROR($A$4*VLOOKUP(L2,'граммовки'!$A:$O,5,0),"Введите блюдо")</f>
        <v>0</v>
      </c>
      <c r="N5" s="103" t="str">
        <f>IFERROR(VLOOKUP(N2,'граммовки'!$A:$O,4,0),"Введите блюдо")</f>
        <v>Молоко</v>
      </c>
      <c r="O5" s="104">
        <f>IFERROR($A$4*VLOOKUP(N2,'граммовки'!$A:$O,5,0),"Введите блюдо")</f>
        <v>0</v>
      </c>
      <c r="P5" s="103" t="s">
        <v>10</v>
      </c>
      <c r="Q5" s="104">
        <v>100.0</v>
      </c>
    </row>
    <row r="6">
      <c r="A6" s="8"/>
      <c r="B6" s="103" t="str">
        <f>IFERROR(VLOOKUP(B2,'граммовки'!$A:$O,6,0),"Введите блюдо")</f>
        <v>Помидоры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>Помидоры</v>
      </c>
      <c r="E6" s="104">
        <f>IFERROR($A$4*VLOOKUP(D2,'граммовки'!$A:$O,7,0),"Введите блюдо")</f>
        <v>0</v>
      </c>
      <c r="F6" s="103" t="str">
        <f>IFERROR(VLOOKUP(F2,'граммовки'!$A:$O,6,0),"Введите блюдо")</f>
        <v>Картофель</v>
      </c>
      <c r="G6" s="104">
        <f>IFERROR($A$4*VLOOKUP(F2,'граммовки'!$A:$O,7,0),"Введите блюдо")</f>
        <v>0</v>
      </c>
      <c r="H6" s="103" t="str">
        <f>IFERROR(VLOOKUP(H2,'граммовки'!$A:$O,6,0),"Введите блюдо")</f>
        <v>Томатная паста </v>
      </c>
      <c r="I6" s="104">
        <f>IFERROR($A$4*VLOOKUP(H2,'граммовки'!$A:$O,7,0),"Введите блюдо")</f>
        <v>0</v>
      </c>
      <c r="J6" s="103" t="str">
        <f>IFERROR(VLOOKUP(J2,'граммовки'!$A:$O,6,0),"Введите блюдо")</f>
        <v>Лук</v>
      </c>
      <c r="K6" s="104">
        <f>IFERROR($A$4*VLOOKUP(J2,'граммовки'!$A:$O,7,0),"Введите блюдо")</f>
        <v>0</v>
      </c>
      <c r="L6" s="103" t="str">
        <f>IFERROR(VLOOKUP(L2,'граммовки'!$A:$O,6,0),"Введите блюдо")</f>
        <v/>
      </c>
      <c r="M6" s="104">
        <f>IFERROR($A$4*VLOOKUP(L2,'граммовки'!$A:$O,7,0),"Введите блюдо")</f>
        <v>0</v>
      </c>
      <c r="N6" s="103" t="str">
        <f>IFERROR(VLOOKUP(N2,'граммовки'!$A:$O,6,0),"Введите блюдо")</f>
        <v>Яйца (30 шт)</v>
      </c>
      <c r="O6" s="104">
        <f>IFERROR($A$4*VLOOKUP(N2,'граммовки'!$A:$O,7,0),"Введите блюдо")</f>
        <v>0</v>
      </c>
      <c r="P6" s="103" t="s">
        <v>11</v>
      </c>
      <c r="Q6" s="104">
        <v>500.0</v>
      </c>
    </row>
    <row r="7">
      <c r="A7" s="8"/>
      <c r="B7" s="103" t="str">
        <f>IFERROR(VLOOKUP(B2,'граммовки'!$A:$O,8,0),"Введите блюдо")</f>
        <v/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>
        <f>IFERROR($A$4*VLOOKUP(D2,'граммовки'!$A:$O,9,0),"Введите блюдо")</f>
        <v>0</v>
      </c>
      <c r="F7" s="103" t="str">
        <f>IFERROR(VLOOKUP(F2,'граммовки'!$A:$O,8,0),"Введите блюдо")</f>
        <v>Лук</v>
      </c>
      <c r="G7" s="104">
        <f>IFERROR($A$4*VLOOKUP(F2,'граммовки'!$A:$O,9,0),"Введите блюдо")</f>
        <v>0</v>
      </c>
      <c r="H7" s="103" t="str">
        <f>IFERROR(VLOOKUP(H2,'граммовки'!$A:$O,8,0),"Введите блюдо")</f>
        <v>Лук</v>
      </c>
      <c r="I7" s="104">
        <f>IFERROR($A$4*VLOOKUP(H2,'граммовки'!$A:$O,9,0),"Введите блюдо")</f>
        <v>0</v>
      </c>
      <c r="J7" s="103" t="str">
        <f>IFERROR(VLOOKUP(J2,'граммовки'!$A:$O,8,0),"Введите блюдо")</f>
        <v>Морковь</v>
      </c>
      <c r="K7" s="104">
        <f>IFERROR($A$4*VLOOKUP(J2,'граммовки'!$A:$O,9,0),"Введите блюдо")</f>
        <v>0</v>
      </c>
      <c r="L7" s="103" t="str">
        <f>IFERROR(VLOOKUP(L2,'граммовки'!$A:$O,8,0),"Введите блюдо")</f>
        <v/>
      </c>
      <c r="M7" s="104">
        <f>IFERROR($A$4*VLOOKUP(L2,'граммовки'!$A:$O,9,0),"Введите блюдо")</f>
        <v>0</v>
      </c>
      <c r="N7" s="103" t="str">
        <f>IFERROR(VLOOKUP(N2,'граммовки'!$A:$O,8,0),"Введите блюдо")</f>
        <v>Сахар</v>
      </c>
      <c r="O7" s="104">
        <f>IFERROR($A$4*VLOOKUP(N2,'граммовки'!$A:$O,9,0),"Введите блюдо")</f>
        <v>0</v>
      </c>
      <c r="P7" s="103" t="s">
        <v>12</v>
      </c>
      <c r="Q7" s="104">
        <v>20.0</v>
      </c>
    </row>
    <row r="8">
      <c r="A8" s="8"/>
      <c r="B8" s="103" t="str">
        <f>IFERROR(VLOOKUP(B2,'граммовки'!$A:$O,10,0),"Введите блюдо")</f>
        <v/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>
        <f>IFERROR($A$4*VLOOKUP(D2,'граммовки'!$A:$O,11,0),"Введите блюдо")</f>
        <v>0</v>
      </c>
      <c r="F8" s="103" t="str">
        <f>IFERROR(VLOOKUP(F2,'граммовки'!$A:$O,10,0),"Введите блюдо")</f>
        <v>Морковь</v>
      </c>
      <c r="G8" s="104">
        <f>IFERROR($A$4*VLOOKUP(F2,'граммовки'!$A:$O,11,0),"Введите блюдо")</f>
        <v>0</v>
      </c>
      <c r="H8" s="103" t="str">
        <f>IFERROR(VLOOKUP(H2,'граммовки'!$A:$O,10,0),"Введите блюдо")</f>
        <v>Морковь</v>
      </c>
      <c r="I8" s="104">
        <f>IFERROR($A$4*VLOOKUP(H2,'граммовки'!$A:$O,11,0),"Введите блюдо")</f>
        <v>0</v>
      </c>
      <c r="J8" s="103" t="str">
        <f>IFERROR(VLOOKUP(J2,'граммовки'!$A:$O,10,0),"Введите блюдо")</f>
        <v/>
      </c>
      <c r="K8" s="104">
        <f>IFERROR($A$4*VLOOKUP(J2,'граммовки'!$A:$O,11,0),"Введите блюдо")</f>
        <v>0</v>
      </c>
      <c r="L8" s="103" t="str">
        <f>IFERROR(VLOOKUP(L2,'граммовки'!$A:$O,10,0),"Введите блюдо")</f>
        <v/>
      </c>
      <c r="M8" s="104">
        <f>IFERROR($A$4*VLOOKUP(L2,'граммовки'!$A:$O,11,0),"Введите блюдо")</f>
        <v>0</v>
      </c>
      <c r="N8" s="103" t="str">
        <f>IFERROR(VLOOKUP(N2,'граммовки'!$A:$O,10,0),"Введите блюдо")</f>
        <v/>
      </c>
      <c r="O8" s="104">
        <f>IFERROR($A$4*VLOOKUP(N2,'граммовки'!$A:$O,11,0),"Введите блюдо")</f>
        <v>0</v>
      </c>
      <c r="P8" s="103" t="s">
        <v>13</v>
      </c>
      <c r="Q8" s="104">
        <v>20.0</v>
      </c>
    </row>
    <row r="9">
      <c r="A9" s="8"/>
      <c r="B9" s="103" t="str">
        <f>IFERROR(VLOOKUP(B2,'граммовки'!$A:$O,12,0),"Введите блюдо")</f>
        <v/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>
        <f>IFERROR($A$4*VLOOKUP(D2,'граммовки'!$A:$O,13,0),"Введите блюдо")</f>
        <v>0</v>
      </c>
      <c r="F9" s="103" t="str">
        <f>IFERROR(VLOOKUP(F2,'граммовки'!$A:$O,12,0),"Введите блюдо")</f>
        <v>Заготовка для супа сухая</v>
      </c>
      <c r="G9" s="104">
        <f>IFERROR($A$4*VLOOKUP(F2,'граммовки'!$A:$O,13,0),"Введите блюдо")</f>
        <v>0</v>
      </c>
      <c r="H9" s="103" t="str">
        <f>IFERROR(VLOOKUP(H2,'граммовки'!$A:$O,12,0),"Введите блюдо")</f>
        <v/>
      </c>
      <c r="I9" s="104">
        <f>IFERROR($A$4*VLOOKUP(H2,'граммовки'!$A:$O,13,0),"Введите блюдо")</f>
        <v>0</v>
      </c>
      <c r="J9" s="103" t="str">
        <f>IFERROR(VLOOKUP(J2,'граммовки'!$A:$O,12,0),"Введите блюдо")</f>
        <v/>
      </c>
      <c r="K9" s="104">
        <f>IFERROR($A$4*VLOOKUP(J2,'граммовки'!$A:$O,13,0),"Введите блюдо")</f>
        <v>0</v>
      </c>
      <c r="L9" s="103" t="str">
        <f>IFERROR(VLOOKUP(L2,'граммовки'!$A:$O,12,0),"Введите блюдо")</f>
        <v/>
      </c>
      <c r="M9" s="104">
        <f>IFERROR($A$4*VLOOKUP(L2,'граммовки'!$A:$O,13,0),"Введите блюдо")</f>
        <v>0</v>
      </c>
      <c r="N9" s="103" t="str">
        <f>IFERROR(VLOOKUP(N2,'граммовки'!$A:$O,12,0),"Введите блюдо")</f>
        <v/>
      </c>
      <c r="O9" s="104">
        <f>IFERROR($A$4*VLOOKUP(N2,'граммовки'!$A:$O,13,0),"Введите блюдо")</f>
        <v>0</v>
      </c>
      <c r="P9" s="103" t="s">
        <v>14</v>
      </c>
      <c r="Q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>
        <f>IFERROR($A$4*VLOOKUP(D2,'граммовки'!$A:$O,15,0),"Введите блюдо")</f>
        <v>0</v>
      </c>
      <c r="F10" s="103" t="str">
        <f>IFERROR(VLOOKUP(F2,'граммовки'!$A:$O,14,0),"Введите блюдо")</f>
        <v/>
      </c>
      <c r="G10" s="104">
        <f>IFERROR($A$4*VLOOKUP(F2,'граммовки'!$A:$O,15,0),"Введите блюдо")</f>
        <v>0</v>
      </c>
      <c r="H10" s="103" t="str">
        <f>IFERROR(VLOOKUP(H2,'граммовки'!$A:$O,14,0),"Введите блюдо")</f>
        <v/>
      </c>
      <c r="I10" s="104">
        <f>IFERROR($A$4*VLOOKUP(H2,'граммовки'!$A:$O,15,0),"Введите блюдо")</f>
        <v>0</v>
      </c>
      <c r="J10" s="103" t="str">
        <f>IFERROR(VLOOKUP(J2,'граммовки'!$A:$O,14,0),"Введите блюдо")</f>
        <v/>
      </c>
      <c r="K10" s="104">
        <f>IFERROR($A$4*VLOOKUP(J2,'граммовки'!$A:$O,15,0),"Введите блюдо")</f>
        <v>0</v>
      </c>
      <c r="L10" s="103" t="str">
        <f>IFERROR(VLOOKUP(L2,'граммовки'!$A:$O,14,0),"Введите блюдо")</f>
        <v/>
      </c>
      <c r="M10" s="104">
        <f>IFERROR($A$4*VLOOKUP(L2,'граммовки'!$A:$O,15,0),"Введите блюдо")</f>
        <v>0</v>
      </c>
      <c r="N10" s="103" t="str">
        <f>IFERROR(VLOOKUP(N2,'граммовки'!$A:$O,14,0),"Введите блюдо")</f>
        <v/>
      </c>
      <c r="O10" s="104">
        <f>IFERROR($A$4*VLOOKUP(N2,'граммовки'!$A:$O,15,0),"Введите блюдо")</f>
        <v>0</v>
      </c>
      <c r="P10" s="107" t="s">
        <v>16</v>
      </c>
      <c r="Q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>
        <f>IFERROR($A$4*VLOOKUP(D2,'граммовки'!$A:$T,17,0),"Введите блюдо")</f>
        <v>0</v>
      </c>
      <c r="F11" s="107" t="str">
        <f>IFERROR(VLOOKUP(F2,'граммовки'!$A:$T,16,0),"Введите блюдо")</f>
        <v/>
      </c>
      <c r="G11" s="108">
        <f>IFERROR($A$4*VLOOKUP(F2,'граммовки'!$A:$T,17,0),"Введите блюдо")</f>
        <v>0</v>
      </c>
      <c r="H11" s="107" t="str">
        <f>IFERROR(VLOOKUP(H2,'граммовки'!$A:$T,16,0),"Введите блюдо")</f>
        <v/>
      </c>
      <c r="I11" s="108">
        <f>IFERROR($A$4*VLOOKUP(H2,'граммовки'!$A:$T,17,0),"Введите блюдо")</f>
        <v>0</v>
      </c>
      <c r="J11" s="107" t="str">
        <f>IFERROR(VLOOKUP(J2,'граммовки'!$A:$T,16,0),"Введите блюдо")</f>
        <v/>
      </c>
      <c r="K11" s="108">
        <f>IFERROR($A$4*VLOOKUP(J2,'граммовки'!$A:$T,17,0),"Введите блюдо")</f>
        <v>0</v>
      </c>
      <c r="L11" s="107" t="str">
        <f>IFERROR(VLOOKUP(L2,'граммовки'!$A:$T,16,0),"Введите блюдо")</f>
        <v/>
      </c>
      <c r="M11" s="108">
        <f>IFERROR($A$4*VLOOKUP(L2,'граммовки'!$A:$T,17,0),"Введите блюдо")</f>
        <v>0</v>
      </c>
      <c r="N11" s="107" t="str">
        <f>IFERROR(VLOOKUP(N2,'граммовки'!$A:$T,16,0),"Введите блюдо")</f>
        <v/>
      </c>
      <c r="O11" s="108">
        <f>IFERROR($A$4*VLOOKUP(N2,'граммовки'!$A:$T,17,0),"Введите блюдо")</f>
        <v>0</v>
      </c>
      <c r="P11" s="8"/>
      <c r="Q11" s="8"/>
    </row>
  </sheetData>
  <mergeCells count="15">
    <mergeCell ref="B1:C1"/>
    <mergeCell ref="B2:C2"/>
    <mergeCell ref="D2:E2"/>
    <mergeCell ref="F2:G2"/>
    <mergeCell ref="H2:I2"/>
    <mergeCell ref="J2:K2"/>
    <mergeCell ref="L2:M2"/>
    <mergeCell ref="N2:O2"/>
    <mergeCell ref="D1:E1"/>
    <mergeCell ref="F1:G1"/>
    <mergeCell ref="H1:I1"/>
    <mergeCell ref="J1:K1"/>
    <mergeCell ref="L1:M1"/>
    <mergeCell ref="N1:O1"/>
    <mergeCell ref="P1:Q1"/>
  </mergeCells>
  <dataValidations>
    <dataValidation type="list" allowBlank="1" showErrorMessage="1" sqref="B2 D2 F2 H2 J2 L2 N2">
      <formula1>'граммовки'!$A$2:$A$60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13"/>
  </cols>
  <sheetData>
    <row r="1">
      <c r="A1" s="89" t="s">
        <v>126</v>
      </c>
      <c r="B1" s="118" t="s">
        <v>132</v>
      </c>
      <c r="C1" s="91"/>
      <c r="D1" s="118" t="s">
        <v>132</v>
      </c>
      <c r="E1" s="91"/>
      <c r="F1" s="119" t="s">
        <v>133</v>
      </c>
      <c r="G1" s="91"/>
      <c r="H1" s="119" t="s">
        <v>133</v>
      </c>
      <c r="I1" s="91"/>
      <c r="J1" s="90" t="s">
        <v>127</v>
      </c>
      <c r="K1" s="91"/>
      <c r="L1" s="90" t="s">
        <v>127</v>
      </c>
      <c r="M1" s="91"/>
      <c r="N1" s="120" t="s">
        <v>134</v>
      </c>
      <c r="O1" s="91"/>
      <c r="P1" s="92" t="s">
        <v>128</v>
      </c>
      <c r="Q1" s="91"/>
    </row>
    <row r="2">
      <c r="A2" s="121"/>
      <c r="B2" s="122" t="s">
        <v>97</v>
      </c>
      <c r="C2" s="95"/>
      <c r="D2" s="122" t="s">
        <v>102</v>
      </c>
      <c r="E2" s="95"/>
      <c r="F2" s="122" t="s">
        <v>108</v>
      </c>
      <c r="G2" s="95"/>
      <c r="H2" s="122" t="s">
        <v>119</v>
      </c>
      <c r="I2" s="95"/>
      <c r="J2" s="122" t="s">
        <v>114</v>
      </c>
      <c r="K2" s="95"/>
      <c r="L2" s="122" t="s">
        <v>122</v>
      </c>
      <c r="M2" s="95"/>
      <c r="N2" s="94" t="s">
        <v>102</v>
      </c>
      <c r="O2" s="95"/>
      <c r="P2" s="101" t="s">
        <v>129</v>
      </c>
      <c r="Q2" s="102" t="s">
        <v>130</v>
      </c>
    </row>
    <row r="3">
      <c r="A3" s="123"/>
      <c r="B3" s="101" t="s">
        <v>129</v>
      </c>
      <c r="C3" s="102" t="s">
        <v>131</v>
      </c>
      <c r="D3" s="101" t="s">
        <v>129</v>
      </c>
      <c r="E3" s="102" t="s">
        <v>131</v>
      </c>
      <c r="F3" s="101" t="s">
        <v>129</v>
      </c>
      <c r="G3" s="102" t="s">
        <v>131</v>
      </c>
      <c r="H3" s="101" t="s">
        <v>129</v>
      </c>
      <c r="I3" s="102" t="s">
        <v>131</v>
      </c>
      <c r="J3" s="101" t="s">
        <v>129</v>
      </c>
      <c r="K3" s="102" t="s">
        <v>131</v>
      </c>
      <c r="L3" s="101" t="s">
        <v>129</v>
      </c>
      <c r="M3" s="102" t="s">
        <v>131</v>
      </c>
      <c r="N3" s="101" t="s">
        <v>129</v>
      </c>
      <c r="O3" s="102" t="s">
        <v>131</v>
      </c>
      <c r="P3" s="103" t="s">
        <v>7</v>
      </c>
      <c r="Q3" s="104">
        <v>130.0</v>
      </c>
    </row>
    <row r="4">
      <c r="A4" s="124"/>
      <c r="B4" s="106" t="str">
        <f>IFERROR(VLOOKUP(B2,'граммовки'!$A:$O,2,0),"Введите блюдо")</f>
        <v>Овсяная крупа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Хлеб</v>
      </c>
      <c r="E4" s="104">
        <f>IFERROR($A$4*VLOOKUP(D2,'граммовки'!$A:$O,3,0),"Введите блюдо")</f>
        <v>0</v>
      </c>
      <c r="F4" s="106" t="str">
        <f>IFERROR(VLOOKUP(F2,'граммовки'!$A:$O,2,0),"Введите блюдо")</f>
        <v>Говядина тушёная</v>
      </c>
      <c r="G4" s="104">
        <f>IFERROR($A$4*VLOOKUP(F2,'граммовки'!$A:$O,3,0),"Введите блюдо")</f>
        <v>0</v>
      </c>
      <c r="H4" s="106" t="str">
        <f>IFERROR(VLOOKUP(H2,'граммовки'!$A:$O,2,0),"Введите блюдо")</f>
        <v>Булгур</v>
      </c>
      <c r="I4" s="104">
        <f>IFERROR($A$4*VLOOKUP(H2,'граммовки'!$A:$O,3,0),"Введите блюдо")</f>
        <v>0</v>
      </c>
      <c r="J4" s="106" t="str">
        <f>IFERROR(VLOOKUP(J2,'граммовки'!$A:$O,2,0),"Введите блюдо")</f>
        <v>Рис</v>
      </c>
      <c r="K4" s="104">
        <f>IFERROR($A$4*VLOOKUP(J2,'граммовки'!$A:$O,3,0),"Введите блюдо")</f>
        <v>0</v>
      </c>
      <c r="L4" s="106" t="str">
        <f>IFERROR(VLOOKUP(L2,'граммовки'!$A:$O,2,0),"Введите блюдо")</f>
        <v>Капуста</v>
      </c>
      <c r="M4" s="104">
        <f>IFERROR($A$4*VLOOKUP(L2,'граммовки'!$A:$O,3,0),"Введите блюдо")</f>
        <v>0</v>
      </c>
      <c r="N4" s="106" t="str">
        <f>IFERROR(VLOOKUP(N2,'граммовки'!$A:$O,2,0),"Введите блюдо")</f>
        <v>Хлеб</v>
      </c>
      <c r="O4" s="104">
        <f>IFERROR($A$4*VLOOKUP(N2,'граммовки'!$A:$O,3,0),"Введите блюдо")</f>
        <v>0</v>
      </c>
      <c r="P4" s="103" t="s">
        <v>9</v>
      </c>
      <c r="Q4" s="104">
        <v>0.0</v>
      </c>
    </row>
    <row r="5">
      <c r="A5" s="8"/>
      <c r="B5" s="103" t="str">
        <f>IFERROR(VLOOKUP(B2,'граммовки'!$A:$O,4,0),"Введите блюдо")</f>
        <v>Джем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Плавленный сыр</v>
      </c>
      <c r="E5" s="104">
        <f>IFERROR($A$4*VLOOKUP(D2,'граммовки'!$A:$O,5,0),"Введите блюдо")</f>
        <v>0</v>
      </c>
      <c r="F5" s="103" t="str">
        <f>IFERROR(VLOOKUP(F2,'граммовки'!$A:$O,4,0),"Введите блюдо")</f>
        <v>Борщевая заготовка</v>
      </c>
      <c r="G5" s="104">
        <f>IFERROR($A$4*VLOOKUP(F2,'граммовки'!$A:$O,5,0),"Введите блюдо")</f>
        <v>0</v>
      </c>
      <c r="H5" s="103" t="str">
        <f>IFERROR(VLOOKUP(H2,'граммовки'!$A:$O,4,0),"Введите блюдо")</f>
        <v>Говядина тушёная</v>
      </c>
      <c r="I5" s="104">
        <f>IFERROR($A$4*VLOOKUP(H2,'граммовки'!$A:$O,5,0),"Введите блюдо")</f>
        <v>0</v>
      </c>
      <c r="J5" s="103" t="str">
        <f>IFERROR(VLOOKUP(J2,'граммовки'!$A:$O,4,0),"Введите блюдо")</f>
        <v>Куриное филе</v>
      </c>
      <c r="K5" s="104">
        <f>IFERROR($A$4*VLOOKUP(J2,'граммовки'!$A:$O,5,0),"Введите блюдо")</f>
        <v>0</v>
      </c>
      <c r="L5" s="103" t="str">
        <f>IFERROR(VLOOKUP(L2,'граммовки'!$A:$O,4,0),"Введите блюдо")</f>
        <v>Огурцы</v>
      </c>
      <c r="M5" s="104">
        <f>IFERROR($A$4*VLOOKUP(L2,'граммовки'!$A:$O,5,0),"Введите блюдо")</f>
        <v>0</v>
      </c>
      <c r="N5" s="103" t="str">
        <f>IFERROR(VLOOKUP(N2,'граммовки'!$A:$O,4,0),"Введите блюдо")</f>
        <v>Плавленный сыр</v>
      </c>
      <c r="O5" s="104">
        <f>IFERROR($A$4*VLOOKUP(N2,'граммовки'!$A:$O,5,0),"Введите блюдо")</f>
        <v>0</v>
      </c>
      <c r="P5" s="103" t="s">
        <v>10</v>
      </c>
      <c r="Q5" s="104">
        <v>100.0</v>
      </c>
    </row>
    <row r="6">
      <c r="A6" s="8"/>
      <c r="B6" s="103" t="str">
        <f>IFERROR(VLOOKUP(B2,'граммовки'!$A:$O,6,0),"Введите блюдо")</f>
        <v>Молоко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>Огурцы</v>
      </c>
      <c r="E6" s="104">
        <f>IFERROR($A$4*VLOOKUP(D2,'граммовки'!$A:$O,7,0),"Введите блюдо")</f>
        <v>0</v>
      </c>
      <c r="F6" s="103" t="str">
        <f>IFERROR(VLOOKUP(F2,'граммовки'!$A:$O,6,0),"Введите блюдо")</f>
        <v>Капуста</v>
      </c>
      <c r="G6" s="104">
        <f>IFERROR($A$4*VLOOKUP(F2,'граммовки'!$A:$O,7,0),"Введите блюдо")</f>
        <v>0</v>
      </c>
      <c r="H6" s="103" t="str">
        <f>IFERROR(VLOOKUP(H2,'граммовки'!$A:$O,6,0),"Введите блюдо")</f>
        <v>Томатная паста </v>
      </c>
      <c r="I6" s="104">
        <f>IFERROR($A$4*VLOOKUP(H2,'граммовки'!$A:$O,7,0),"Введите блюдо")</f>
        <v>0</v>
      </c>
      <c r="J6" s="103" t="str">
        <f>IFERROR(VLOOKUP(J2,'граммовки'!$A:$O,6,0),"Введите блюдо")</f>
        <v>Морковь</v>
      </c>
      <c r="K6" s="104">
        <f>IFERROR($A$4*VLOOKUP(J2,'граммовки'!$A:$O,7,0),"Введите блюдо")</f>
        <v>0</v>
      </c>
      <c r="L6" s="103" t="str">
        <f>IFERROR(VLOOKUP(L2,'граммовки'!$A:$O,6,0),"Введите блюдо")</f>
        <v>Редис</v>
      </c>
      <c r="M6" s="104">
        <f>IFERROR($A$4*VLOOKUP(L2,'граммовки'!$A:$O,7,0),"Введите блюдо")</f>
        <v>0</v>
      </c>
      <c r="N6" s="103" t="str">
        <f>IFERROR(VLOOKUP(N2,'граммовки'!$A:$O,6,0),"Введите блюдо")</f>
        <v>Огурцы</v>
      </c>
      <c r="O6" s="104">
        <f>IFERROR($A$4*VLOOKUP(N2,'граммовки'!$A:$O,7,0),"Введите блюдо")</f>
        <v>0</v>
      </c>
      <c r="P6" s="103" t="s">
        <v>11</v>
      </c>
      <c r="Q6" s="104">
        <v>500.0</v>
      </c>
    </row>
    <row r="7">
      <c r="A7" s="8"/>
      <c r="B7" s="103" t="str">
        <f>IFERROR(VLOOKUP(B2,'граммовки'!$A:$O,8,0),"Введите блюдо")</f>
        <v/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>
        <f>IFERROR($A$4*VLOOKUP(D2,'граммовки'!$A:$O,9,0),"Введите блюдо")</f>
        <v>0</v>
      </c>
      <c r="F7" s="103" t="str">
        <f>IFERROR(VLOOKUP(F2,'граммовки'!$A:$O,8,0),"Введите блюдо")</f>
        <v>Морковь</v>
      </c>
      <c r="G7" s="104">
        <f>IFERROR($A$4*VLOOKUP(F2,'граммовки'!$A:$O,9,0),"Введите блюдо")</f>
        <v>0</v>
      </c>
      <c r="H7" s="103" t="str">
        <f>IFERROR(VLOOKUP(H2,'граммовки'!$A:$O,8,0),"Введите блюдо")</f>
        <v>Морковь</v>
      </c>
      <c r="I7" s="104">
        <f>IFERROR($A$4*VLOOKUP(H2,'граммовки'!$A:$O,9,0),"Введите блюдо")</f>
        <v>0</v>
      </c>
      <c r="J7" s="103" t="str">
        <f>IFERROR(VLOOKUP(J2,'граммовки'!$A:$O,8,0),"Введите блюдо")</f>
        <v>Лук</v>
      </c>
      <c r="K7" s="104">
        <f>IFERROR($A$4*VLOOKUP(J2,'граммовки'!$A:$O,9,0),"Введите блюдо")</f>
        <v>0</v>
      </c>
      <c r="L7" s="103" t="str">
        <f>IFERROR(VLOOKUP(L2,'граммовки'!$A:$O,8,0),"Введите блюдо")</f>
        <v/>
      </c>
      <c r="M7" s="104">
        <f>IFERROR($A$4*VLOOKUP(L2,'граммовки'!$A:$O,9,0),"Введите блюдо")</f>
        <v>0</v>
      </c>
      <c r="N7" s="103" t="str">
        <f>IFERROR(VLOOKUP(N2,'граммовки'!$A:$O,8,0),"Введите блюдо")</f>
        <v/>
      </c>
      <c r="O7" s="104">
        <f>IFERROR($A$4*VLOOKUP(N2,'граммовки'!$A:$O,9,0),"Введите блюдо")</f>
        <v>0</v>
      </c>
      <c r="P7" s="103" t="s">
        <v>12</v>
      </c>
      <c r="Q7" s="104">
        <v>20.0</v>
      </c>
    </row>
    <row r="8">
      <c r="A8" s="8"/>
      <c r="B8" s="103" t="str">
        <f>IFERROR(VLOOKUP(B2,'граммовки'!$A:$O,10,0),"Введите блюдо")</f>
        <v/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>
        <f>IFERROR($A$4*VLOOKUP(D2,'граммовки'!$A:$O,11,0),"Введите блюдо")</f>
        <v>0</v>
      </c>
      <c r="F8" s="103" t="str">
        <f>IFERROR(VLOOKUP(F2,'граммовки'!$A:$O,10,0),"Введите блюдо")</f>
        <v>Картофель</v>
      </c>
      <c r="G8" s="104">
        <f>IFERROR($A$4*VLOOKUP(F2,'граммовки'!$A:$O,11,0),"Введите блюдо")</f>
        <v>0</v>
      </c>
      <c r="H8" s="103" t="str">
        <f>IFERROR(VLOOKUP(H2,'граммовки'!$A:$O,10,0),"Введите блюдо")</f>
        <v>Лук</v>
      </c>
      <c r="I8" s="104">
        <f>IFERROR($A$4*VLOOKUP(H2,'граммовки'!$A:$O,11,0),"Введите блюдо")</f>
        <v>0</v>
      </c>
      <c r="J8" s="103" t="str">
        <f>IFERROR(VLOOKUP(J2,'граммовки'!$A:$O,10,0),"Введите блюдо")</f>
        <v>Приправа для плова</v>
      </c>
      <c r="K8" s="104">
        <f>IFERROR($A$4*VLOOKUP(J2,'граммовки'!$A:$O,11,0),"Введите блюдо")</f>
        <v>0</v>
      </c>
      <c r="L8" s="103" t="str">
        <f>IFERROR(VLOOKUP(L2,'граммовки'!$A:$O,10,0),"Введите блюдо")</f>
        <v/>
      </c>
      <c r="M8" s="104">
        <f>IFERROR($A$4*VLOOKUP(L2,'граммовки'!$A:$O,11,0),"Введите блюдо")</f>
        <v>0</v>
      </c>
      <c r="N8" s="103" t="str">
        <f>IFERROR(VLOOKUP(N2,'граммовки'!$A:$O,10,0),"Введите блюдо")</f>
        <v/>
      </c>
      <c r="O8" s="104">
        <f>IFERROR($A$4*VLOOKUP(N2,'граммовки'!$A:$O,11,0),"Введите блюдо")</f>
        <v>0</v>
      </c>
      <c r="P8" s="103" t="s">
        <v>13</v>
      </c>
      <c r="Q8" s="104">
        <v>20.0</v>
      </c>
    </row>
    <row r="9">
      <c r="A9" s="8"/>
      <c r="B9" s="103" t="str">
        <f>IFERROR(VLOOKUP(B2,'граммовки'!$A:$O,12,0),"Введите блюдо")</f>
        <v/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>
        <f>IFERROR($A$4*VLOOKUP(D2,'граммовки'!$A:$O,13,0),"Введите блюдо")</f>
        <v>0</v>
      </c>
      <c r="F9" s="103" t="str">
        <f>IFERROR(VLOOKUP(F2,'граммовки'!$A:$O,12,0),"Введите блюдо")</f>
        <v>Лук</v>
      </c>
      <c r="G9" s="104">
        <f>IFERROR($A$4*VLOOKUP(F2,'граммовки'!$A:$O,13,0),"Введите блюдо")</f>
        <v>0</v>
      </c>
      <c r="H9" s="103" t="str">
        <f>IFERROR(VLOOKUP(H2,'граммовки'!$A:$O,12,0),"Введите блюдо")</f>
        <v/>
      </c>
      <c r="I9" s="104">
        <f>IFERROR($A$4*VLOOKUP(H2,'граммовки'!$A:$O,13,0),"Введите блюдо")</f>
        <v>0</v>
      </c>
      <c r="J9" s="103" t="str">
        <f>IFERROR(VLOOKUP(J2,'граммовки'!$A:$O,12,0),"Введите блюдо")</f>
        <v/>
      </c>
      <c r="K9" s="104">
        <f>IFERROR($A$4*VLOOKUP(J2,'граммовки'!$A:$O,13,0),"Введите блюдо")</f>
        <v>0</v>
      </c>
      <c r="L9" s="103" t="str">
        <f>IFERROR(VLOOKUP(L2,'граммовки'!$A:$O,12,0),"Введите блюдо")</f>
        <v/>
      </c>
      <c r="M9" s="104">
        <f>IFERROR($A$4*VLOOKUP(L2,'граммовки'!$A:$O,13,0),"Введите блюдо")</f>
        <v>0</v>
      </c>
      <c r="N9" s="103" t="str">
        <f>IFERROR(VLOOKUP(N2,'граммовки'!$A:$O,12,0),"Введите блюдо")</f>
        <v/>
      </c>
      <c r="O9" s="104">
        <f>IFERROR($A$4*VLOOKUP(N2,'граммовки'!$A:$O,13,0),"Введите блюдо")</f>
        <v>0</v>
      </c>
      <c r="P9" s="103" t="s">
        <v>14</v>
      </c>
      <c r="Q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>
        <f>IFERROR($A$4*VLOOKUP(D2,'граммовки'!$A:$O,15,0),"Введите блюдо")</f>
        <v>0</v>
      </c>
      <c r="F10" s="103" t="str">
        <f>IFERROR(VLOOKUP(F2,'граммовки'!$A:$O,14,0),"Введите блюдо")</f>
        <v>Томатная паста </v>
      </c>
      <c r="G10" s="104">
        <f>IFERROR($A$4*VLOOKUP(F2,'граммовки'!$A:$O,15,0),"Введите блюдо")</f>
        <v>0</v>
      </c>
      <c r="H10" s="103" t="str">
        <f>IFERROR(VLOOKUP(H2,'граммовки'!$A:$O,14,0),"Введите блюдо")</f>
        <v/>
      </c>
      <c r="I10" s="104">
        <f>IFERROR($A$4*VLOOKUP(H2,'граммовки'!$A:$O,15,0),"Введите блюдо")</f>
        <v>0</v>
      </c>
      <c r="J10" s="103" t="str">
        <f>IFERROR(VLOOKUP(J2,'граммовки'!$A:$O,14,0),"Введите блюдо")</f>
        <v/>
      </c>
      <c r="K10" s="104">
        <f>IFERROR($A$4*VLOOKUP(J2,'граммовки'!$A:$O,15,0),"Введите блюдо")</f>
        <v>0</v>
      </c>
      <c r="L10" s="103" t="str">
        <f>IFERROR(VLOOKUP(L2,'граммовки'!$A:$O,14,0),"Введите блюдо")</f>
        <v/>
      </c>
      <c r="M10" s="104">
        <f>IFERROR($A$4*VLOOKUP(L2,'граммовки'!$A:$O,15,0),"Введите блюдо")</f>
        <v>0</v>
      </c>
      <c r="N10" s="103" t="str">
        <f>IFERROR(VLOOKUP(N2,'граммовки'!$A:$O,14,0),"Введите блюдо")</f>
        <v/>
      </c>
      <c r="O10" s="104">
        <f>IFERROR($A$4*VLOOKUP(N2,'граммовки'!$A:$O,15,0),"Введите блюдо")</f>
        <v>0</v>
      </c>
      <c r="P10" s="107" t="s">
        <v>16</v>
      </c>
      <c r="Q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>
        <f>IFERROR($A$4*VLOOKUP(D2,'граммовки'!$A:$T,17,0),"Введите блюдо")</f>
        <v>0</v>
      </c>
      <c r="F11" s="107" t="str">
        <f>IFERROR(VLOOKUP(F2,'граммовки'!$A:$T,16,0),"Введите блюдо")</f>
        <v/>
      </c>
      <c r="G11" s="108">
        <f>IFERROR($A$4*VLOOKUP(F2,'граммовки'!$A:$T,17,0),"Введите блюдо")</f>
        <v>0</v>
      </c>
      <c r="H11" s="107" t="str">
        <f>IFERROR(VLOOKUP(H2,'граммовки'!$A:$T,16,0),"Введите блюдо")</f>
        <v/>
      </c>
      <c r="I11" s="108">
        <f>IFERROR($A$4*VLOOKUP(H2,'граммовки'!$A:$T,17,0),"Введите блюдо")</f>
        <v>0</v>
      </c>
      <c r="J11" s="107" t="str">
        <f>IFERROR(VLOOKUP(J2,'граммовки'!$A:$T,16,0),"Введите блюдо")</f>
        <v/>
      </c>
      <c r="K11" s="108">
        <f>IFERROR($A$4*VLOOKUP(J2,'граммовки'!$A:$T,17,0),"Введите блюдо")</f>
        <v>0</v>
      </c>
      <c r="L11" s="107" t="str">
        <f>IFERROR(VLOOKUP(L2,'граммовки'!$A:$T,16,0),"Введите блюдо")</f>
        <v/>
      </c>
      <c r="M11" s="108">
        <f>IFERROR($A$4*VLOOKUP(L2,'граммовки'!$A:$T,17,0),"Введите блюдо")</f>
        <v>0</v>
      </c>
      <c r="N11" s="107" t="str">
        <f>IFERROR(VLOOKUP(N2,'граммовки'!$A:$T,16,0),"Введите блюдо")</f>
        <v/>
      </c>
      <c r="O11" s="108">
        <f>IFERROR($A$4*VLOOKUP(N2,'граммовки'!$A:$T,17,0),"Введите блюдо")</f>
        <v>0</v>
      </c>
      <c r="P11" s="8"/>
      <c r="Q11" s="8"/>
    </row>
  </sheetData>
  <mergeCells count="15">
    <mergeCell ref="B1:C1"/>
    <mergeCell ref="B2:C2"/>
    <mergeCell ref="D2:E2"/>
    <mergeCell ref="F2:G2"/>
    <mergeCell ref="H2:I2"/>
    <mergeCell ref="J2:K2"/>
    <mergeCell ref="L2:M2"/>
    <mergeCell ref="N2:O2"/>
    <mergeCell ref="D1:E1"/>
    <mergeCell ref="F1:G1"/>
    <mergeCell ref="H1:I1"/>
    <mergeCell ref="J1:K1"/>
    <mergeCell ref="L1:M1"/>
    <mergeCell ref="N1:O1"/>
    <mergeCell ref="P1:Q1"/>
  </mergeCells>
  <dataValidations>
    <dataValidation type="list" allowBlank="1" showErrorMessage="1" sqref="B2 D2 F2 H2 J2 L2 N2">
      <formula1>'граммовки'!$A$2:$A$60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13"/>
  </cols>
  <sheetData>
    <row r="1">
      <c r="A1" s="89" t="s">
        <v>126</v>
      </c>
      <c r="B1" s="118" t="s">
        <v>132</v>
      </c>
      <c r="C1" s="91"/>
      <c r="D1" s="118" t="s">
        <v>132</v>
      </c>
      <c r="E1" s="91"/>
      <c r="F1" s="119" t="s">
        <v>133</v>
      </c>
      <c r="G1" s="91"/>
      <c r="H1" s="119" t="s">
        <v>133</v>
      </c>
      <c r="I1" s="91"/>
      <c r="J1" s="90" t="s">
        <v>127</v>
      </c>
      <c r="K1" s="91"/>
      <c r="L1" s="90" t="s">
        <v>127</v>
      </c>
      <c r="M1" s="91"/>
      <c r="N1" s="120" t="s">
        <v>134</v>
      </c>
      <c r="O1" s="91"/>
      <c r="P1" s="92" t="s">
        <v>128</v>
      </c>
      <c r="Q1" s="91"/>
    </row>
    <row r="2">
      <c r="A2" s="121"/>
      <c r="B2" s="122" t="s">
        <v>98</v>
      </c>
      <c r="C2" s="95"/>
      <c r="D2" s="122" t="s">
        <v>103</v>
      </c>
      <c r="E2" s="95"/>
      <c r="F2" s="122" t="s">
        <v>113</v>
      </c>
      <c r="G2" s="95"/>
      <c r="H2" s="122" t="s">
        <v>120</v>
      </c>
      <c r="I2" s="95"/>
      <c r="J2" s="122" t="s">
        <v>116</v>
      </c>
      <c r="K2" s="95"/>
      <c r="L2" s="122" t="s">
        <v>121</v>
      </c>
      <c r="M2" s="95"/>
      <c r="N2" s="94" t="s">
        <v>102</v>
      </c>
      <c r="O2" s="95"/>
      <c r="P2" s="101" t="s">
        <v>129</v>
      </c>
      <c r="Q2" s="102" t="s">
        <v>130</v>
      </c>
    </row>
    <row r="3">
      <c r="A3" s="123"/>
      <c r="B3" s="101" t="s">
        <v>129</v>
      </c>
      <c r="C3" s="102" t="s">
        <v>131</v>
      </c>
      <c r="D3" s="101" t="s">
        <v>129</v>
      </c>
      <c r="E3" s="102" t="s">
        <v>131</v>
      </c>
      <c r="F3" s="101" t="s">
        <v>129</v>
      </c>
      <c r="G3" s="102" t="s">
        <v>131</v>
      </c>
      <c r="H3" s="101" t="s">
        <v>129</v>
      </c>
      <c r="I3" s="102" t="s">
        <v>131</v>
      </c>
      <c r="J3" s="101" t="s">
        <v>129</v>
      </c>
      <c r="K3" s="102" t="s">
        <v>131</v>
      </c>
      <c r="L3" s="101" t="s">
        <v>129</v>
      </c>
      <c r="M3" s="102" t="s">
        <v>131</v>
      </c>
      <c r="N3" s="101" t="s">
        <v>129</v>
      </c>
      <c r="O3" s="102" t="s">
        <v>131</v>
      </c>
      <c r="P3" s="103" t="s">
        <v>7</v>
      </c>
      <c r="Q3" s="104">
        <v>130.0</v>
      </c>
    </row>
    <row r="4">
      <c r="A4" s="124"/>
      <c r="B4" s="106" t="str">
        <f>IFERROR(VLOOKUP(B2,'граммовки'!$A:$O,2,0),"Введите блюдо")</f>
        <v>Овсяная крупа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Хлеб</v>
      </c>
      <c r="E4" s="104">
        <f>IFERROR($A$4*VLOOKUP(D2,'граммовки'!$A:$O,3,0),"Введите блюдо")</f>
        <v>0</v>
      </c>
      <c r="F4" s="106" t="str">
        <f>IFERROR(VLOOKUP(F2,'граммовки'!$A:$O,2,0),"Введите блюдо")</f>
        <v>Гречневая крупа</v>
      </c>
      <c r="G4" s="104">
        <f>IFERROR($A$4*VLOOKUP(F2,'граммовки'!$A:$O,3,0),"Введите блюдо")</f>
        <v>0</v>
      </c>
      <c r="H4" s="106" t="str">
        <f>IFERROR(VLOOKUP(H2,'граммовки'!$A:$O,2,0),"Введите блюдо")</f>
        <v>Капуста</v>
      </c>
      <c r="I4" s="104">
        <f>IFERROR($A$4*VLOOKUP(H2,'граммовки'!$A:$O,3,0),"Введите блюдо")</f>
        <v>0</v>
      </c>
      <c r="J4" s="106" t="str">
        <f>IFERROR(VLOOKUP(J2,'граммовки'!$A:$O,2,0),"Введите блюдо")</f>
        <v>Картофель</v>
      </c>
      <c r="K4" s="104">
        <f>IFERROR($A$4*VLOOKUP(J2,'граммовки'!$A:$O,3,0),"Введите блюдо")</f>
        <v>0</v>
      </c>
      <c r="L4" s="106" t="str">
        <f>IFERROR(VLOOKUP(L2,'граммовки'!$A:$O,2,0),"Введите блюдо")</f>
        <v>Огурцы</v>
      </c>
      <c r="M4" s="104">
        <f>IFERROR($A$4*VLOOKUP(L2,'граммовки'!$A:$O,3,0),"Введите блюдо")</f>
        <v>0</v>
      </c>
      <c r="N4" s="106" t="str">
        <f>IFERROR(VLOOKUP(N2,'граммовки'!$A:$O,2,0),"Введите блюдо")</f>
        <v>Хлеб</v>
      </c>
      <c r="O4" s="104">
        <f>IFERROR($A$4*VLOOKUP(N2,'граммовки'!$A:$O,3,0),"Введите блюдо")</f>
        <v>0</v>
      </c>
      <c r="P4" s="103" t="s">
        <v>9</v>
      </c>
      <c r="Q4" s="104">
        <v>0.0</v>
      </c>
    </row>
    <row r="5">
      <c r="A5" s="8"/>
      <c r="B5" s="103" t="str">
        <f>IFERROR(VLOOKUP(B2,'граммовки'!$A:$O,4,0),"Введите блюдо")</f>
        <v>Сгущёнка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Плавленный сыр</v>
      </c>
      <c r="E5" s="104">
        <f>IFERROR($A$4*VLOOKUP(D2,'граммовки'!$A:$O,5,0),"Введите блюдо")</f>
        <v>0</v>
      </c>
      <c r="F5" s="103" t="str">
        <f>IFERROR(VLOOKUP(F2,'граммовки'!$A:$O,4,0),"Введите блюдо")</f>
        <v>Говядина тушёная</v>
      </c>
      <c r="G5" s="104">
        <f>IFERROR($A$4*VLOOKUP(F2,'граммовки'!$A:$O,5,0),"Введите блюдо")</f>
        <v>0</v>
      </c>
      <c r="H5" s="103" t="str">
        <f>IFERROR(VLOOKUP(H2,'граммовки'!$A:$O,4,0),"Введите блюдо")</f>
        <v>Морковь</v>
      </c>
      <c r="I5" s="104">
        <f>IFERROR($A$4*VLOOKUP(H2,'граммовки'!$A:$O,5,0),"Введите блюдо")</f>
        <v>0</v>
      </c>
      <c r="J5" s="103" t="str">
        <f>IFERROR(VLOOKUP(J2,'граммовки'!$A:$O,4,0),"Введите блюдо")</f>
        <v>Сосиски</v>
      </c>
      <c r="K5" s="104">
        <f>IFERROR($A$4*VLOOKUP(J2,'граммовки'!$A:$O,5,0),"Введите блюдо")</f>
        <v>0</v>
      </c>
      <c r="L5" s="103" t="str">
        <f>IFERROR(VLOOKUP(L2,'граммовки'!$A:$O,4,0),"Введите блюдо")</f>
        <v>Помидоры</v>
      </c>
      <c r="M5" s="104">
        <f>IFERROR($A$4*VLOOKUP(L2,'граммовки'!$A:$O,5,0),"Введите блюдо")</f>
        <v>0</v>
      </c>
      <c r="N5" s="103" t="str">
        <f>IFERROR(VLOOKUP(N2,'граммовки'!$A:$O,4,0),"Введите блюдо")</f>
        <v>Плавленный сыр</v>
      </c>
      <c r="O5" s="104">
        <f>IFERROR($A$4*VLOOKUP(N2,'граммовки'!$A:$O,5,0),"Введите блюдо")</f>
        <v>0</v>
      </c>
      <c r="P5" s="103" t="s">
        <v>10</v>
      </c>
      <c r="Q5" s="104">
        <v>100.0</v>
      </c>
    </row>
    <row r="6">
      <c r="A6" s="8"/>
      <c r="B6" s="103" t="str">
        <f>IFERROR(VLOOKUP(B2,'граммовки'!$A:$O,6,0),"Введите блюдо")</f>
        <v>Молоко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>Помидоры</v>
      </c>
      <c r="E6" s="104">
        <f>IFERROR($A$4*VLOOKUP(D2,'граммовки'!$A:$O,7,0),"Введите блюдо")</f>
        <v>0</v>
      </c>
      <c r="F6" s="103" t="str">
        <f>IFERROR(VLOOKUP(F2,'граммовки'!$A:$O,6,0),"Введите блюдо")</f>
        <v>Лук</v>
      </c>
      <c r="G6" s="104">
        <f>IFERROR($A$4*VLOOKUP(F2,'граммовки'!$A:$O,7,0),"Введите блюдо")</f>
        <v>0</v>
      </c>
      <c r="H6" s="103" t="str">
        <f>IFERROR(VLOOKUP(H2,'граммовки'!$A:$O,6,0),"Введите блюдо")</f>
        <v/>
      </c>
      <c r="I6" s="104">
        <f>IFERROR($A$4*VLOOKUP(H2,'граммовки'!$A:$O,7,0),"Введите блюдо")</f>
        <v>0</v>
      </c>
      <c r="J6" s="103" t="str">
        <f>IFERROR(VLOOKUP(J2,'граммовки'!$A:$O,6,0),"Введите блюдо")</f>
        <v>Морковь</v>
      </c>
      <c r="K6" s="104">
        <f>IFERROR($A$4*VLOOKUP(J2,'граммовки'!$A:$O,7,0),"Введите блюдо")</f>
        <v>0</v>
      </c>
      <c r="L6" s="103" t="str">
        <f>IFERROR(VLOOKUP(L2,'граммовки'!$A:$O,6,0),"Введите блюдо")</f>
        <v/>
      </c>
      <c r="M6" s="104">
        <f>IFERROR($A$4*VLOOKUP(L2,'граммовки'!$A:$O,7,0),"Введите блюдо")</f>
        <v>0</v>
      </c>
      <c r="N6" s="103" t="str">
        <f>IFERROR(VLOOKUP(N2,'граммовки'!$A:$O,6,0),"Введите блюдо")</f>
        <v>Огурцы</v>
      </c>
      <c r="O6" s="104">
        <f>IFERROR($A$4*VLOOKUP(N2,'граммовки'!$A:$O,7,0),"Введите блюдо")</f>
        <v>0</v>
      </c>
      <c r="P6" s="103" t="s">
        <v>11</v>
      </c>
      <c r="Q6" s="104">
        <v>500.0</v>
      </c>
    </row>
    <row r="7">
      <c r="A7" s="8"/>
      <c r="B7" s="103" t="str">
        <f>IFERROR(VLOOKUP(B2,'граммовки'!$A:$O,8,0),"Введите блюдо")</f>
        <v/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>
        <f>IFERROR($A$4*VLOOKUP(D2,'граммовки'!$A:$O,9,0),"Введите блюдо")</f>
        <v>0</v>
      </c>
      <c r="F7" s="103" t="str">
        <f>IFERROR(VLOOKUP(F2,'граммовки'!$A:$O,8,0),"Введите блюдо")</f>
        <v>Морковь</v>
      </c>
      <c r="G7" s="104">
        <f>IFERROR($A$4*VLOOKUP(F2,'граммовки'!$A:$O,9,0),"Введите блюдо")</f>
        <v>0</v>
      </c>
      <c r="H7" s="103" t="str">
        <f>IFERROR(VLOOKUP(H2,'граммовки'!$A:$O,8,0),"Введите блюдо")</f>
        <v/>
      </c>
      <c r="I7" s="104">
        <f>IFERROR($A$4*VLOOKUP(H2,'граммовки'!$A:$O,9,0),"Введите блюдо")</f>
        <v>0</v>
      </c>
      <c r="J7" s="103" t="str">
        <f>IFERROR(VLOOKUP(J2,'граммовки'!$A:$O,8,0),"Введите блюдо")</f>
        <v>Лук</v>
      </c>
      <c r="K7" s="104">
        <f>IFERROR($A$4*VLOOKUP(J2,'граммовки'!$A:$O,9,0),"Введите блюдо")</f>
        <v>0</v>
      </c>
      <c r="L7" s="103" t="str">
        <f>IFERROR(VLOOKUP(L2,'граммовки'!$A:$O,8,0),"Введите блюдо")</f>
        <v/>
      </c>
      <c r="M7" s="104">
        <f>IFERROR($A$4*VLOOKUP(L2,'граммовки'!$A:$O,9,0),"Введите блюдо")</f>
        <v>0</v>
      </c>
      <c r="N7" s="103" t="str">
        <f>IFERROR(VLOOKUP(N2,'граммовки'!$A:$O,8,0),"Введите блюдо")</f>
        <v/>
      </c>
      <c r="O7" s="104">
        <f>IFERROR($A$4*VLOOKUP(N2,'граммовки'!$A:$O,9,0),"Введите блюдо")</f>
        <v>0</v>
      </c>
      <c r="P7" s="103" t="s">
        <v>12</v>
      </c>
      <c r="Q7" s="104">
        <v>20.0</v>
      </c>
    </row>
    <row r="8">
      <c r="A8" s="8"/>
      <c r="B8" s="103" t="str">
        <f>IFERROR(VLOOKUP(B2,'граммовки'!$A:$O,10,0),"Введите блюдо")</f>
        <v/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>
        <f>IFERROR($A$4*VLOOKUP(D2,'граммовки'!$A:$O,11,0),"Введите блюдо")</f>
        <v>0</v>
      </c>
      <c r="F8" s="103" t="str">
        <f>IFERROR(VLOOKUP(F2,'граммовки'!$A:$O,10,0),"Введите блюдо")</f>
        <v/>
      </c>
      <c r="G8" s="104">
        <f>IFERROR($A$4*VLOOKUP(F2,'граммовки'!$A:$O,11,0),"Введите блюдо")</f>
        <v>0</v>
      </c>
      <c r="H8" s="103" t="str">
        <f>IFERROR(VLOOKUP(H2,'граммовки'!$A:$O,10,0),"Введите блюдо")</f>
        <v/>
      </c>
      <c r="I8" s="104">
        <f>IFERROR($A$4*VLOOKUP(H2,'граммовки'!$A:$O,11,0),"Введите блюдо")</f>
        <v>0</v>
      </c>
      <c r="J8" s="103" t="str">
        <f>IFERROR(VLOOKUP(J2,'граммовки'!$A:$O,10,0),"Введите блюдо")</f>
        <v>Красители </v>
      </c>
      <c r="K8" s="104">
        <f>IFERROR($A$4*VLOOKUP(J2,'граммовки'!$A:$O,11,0),"Введите блюдо")</f>
        <v>0</v>
      </c>
      <c r="L8" s="103" t="str">
        <f>IFERROR(VLOOKUP(L2,'граммовки'!$A:$O,10,0),"Введите блюдо")</f>
        <v/>
      </c>
      <c r="M8" s="104">
        <f>IFERROR($A$4*VLOOKUP(L2,'граммовки'!$A:$O,11,0),"Введите блюдо")</f>
        <v>0</v>
      </c>
      <c r="N8" s="103" t="str">
        <f>IFERROR(VLOOKUP(N2,'граммовки'!$A:$O,10,0),"Введите блюдо")</f>
        <v/>
      </c>
      <c r="O8" s="104">
        <f>IFERROR($A$4*VLOOKUP(N2,'граммовки'!$A:$O,11,0),"Введите блюдо")</f>
        <v>0</v>
      </c>
      <c r="P8" s="103" t="s">
        <v>13</v>
      </c>
      <c r="Q8" s="104">
        <v>20.0</v>
      </c>
    </row>
    <row r="9">
      <c r="A9" s="8"/>
      <c r="B9" s="103" t="str">
        <f>IFERROR(VLOOKUP(B2,'граммовки'!$A:$O,12,0),"Введите блюдо")</f>
        <v/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>
        <f>IFERROR($A$4*VLOOKUP(D2,'граммовки'!$A:$O,13,0),"Введите блюдо")</f>
        <v>0</v>
      </c>
      <c r="F9" s="103" t="str">
        <f>IFERROR(VLOOKUP(F2,'граммовки'!$A:$O,12,0),"Введите блюдо")</f>
        <v/>
      </c>
      <c r="G9" s="104">
        <f>IFERROR($A$4*VLOOKUP(F2,'граммовки'!$A:$O,13,0),"Введите блюдо")</f>
        <v>0</v>
      </c>
      <c r="H9" s="103" t="str">
        <f>IFERROR(VLOOKUP(H2,'граммовки'!$A:$O,12,0),"Введите блюдо")</f>
        <v/>
      </c>
      <c r="I9" s="104">
        <f>IFERROR($A$4*VLOOKUP(H2,'граммовки'!$A:$O,13,0),"Введите блюдо")</f>
        <v>0</v>
      </c>
      <c r="J9" s="103" t="str">
        <f>IFERROR(VLOOKUP(J2,'граммовки'!$A:$O,12,0),"Введите блюдо")</f>
        <v/>
      </c>
      <c r="K9" s="104">
        <f>IFERROR($A$4*VLOOKUP(J2,'граммовки'!$A:$O,13,0),"Введите блюдо")</f>
        <v>0</v>
      </c>
      <c r="L9" s="103" t="str">
        <f>IFERROR(VLOOKUP(L2,'граммовки'!$A:$O,12,0),"Введите блюдо")</f>
        <v/>
      </c>
      <c r="M9" s="104">
        <f>IFERROR($A$4*VLOOKUP(L2,'граммовки'!$A:$O,13,0),"Введите блюдо")</f>
        <v>0</v>
      </c>
      <c r="N9" s="103" t="str">
        <f>IFERROR(VLOOKUP(N2,'граммовки'!$A:$O,12,0),"Введите блюдо")</f>
        <v/>
      </c>
      <c r="O9" s="104">
        <f>IFERROR($A$4*VLOOKUP(N2,'граммовки'!$A:$O,13,0),"Введите блюдо")</f>
        <v>0</v>
      </c>
      <c r="P9" s="103" t="s">
        <v>14</v>
      </c>
      <c r="Q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>
        <f>IFERROR($A$4*VLOOKUP(D2,'граммовки'!$A:$O,15,0),"Введите блюдо")</f>
        <v>0</v>
      </c>
      <c r="F10" s="103" t="str">
        <f>IFERROR(VLOOKUP(F2,'граммовки'!$A:$O,14,0),"Введите блюдо")</f>
        <v/>
      </c>
      <c r="G10" s="104">
        <f>IFERROR($A$4*VLOOKUP(F2,'граммовки'!$A:$O,15,0),"Введите блюдо")</f>
        <v>0</v>
      </c>
      <c r="H10" s="103" t="str">
        <f>IFERROR(VLOOKUP(H2,'граммовки'!$A:$O,14,0),"Введите блюдо")</f>
        <v/>
      </c>
      <c r="I10" s="104">
        <f>IFERROR($A$4*VLOOKUP(H2,'граммовки'!$A:$O,15,0),"Введите блюдо")</f>
        <v>0</v>
      </c>
      <c r="J10" s="103" t="str">
        <f>IFERROR(VLOOKUP(J2,'граммовки'!$A:$O,14,0),"Введите блюдо")</f>
        <v/>
      </c>
      <c r="K10" s="104">
        <f>IFERROR($A$4*VLOOKUP(J2,'граммовки'!$A:$O,15,0),"Введите блюдо")</f>
        <v>0</v>
      </c>
      <c r="L10" s="103" t="str">
        <f>IFERROR(VLOOKUP(L2,'граммовки'!$A:$O,14,0),"Введите блюдо")</f>
        <v/>
      </c>
      <c r="M10" s="104">
        <f>IFERROR($A$4*VLOOKUP(L2,'граммовки'!$A:$O,15,0),"Введите блюдо")</f>
        <v>0</v>
      </c>
      <c r="N10" s="103" t="str">
        <f>IFERROR(VLOOKUP(N2,'граммовки'!$A:$O,14,0),"Введите блюдо")</f>
        <v/>
      </c>
      <c r="O10" s="104">
        <f>IFERROR($A$4*VLOOKUP(N2,'граммовки'!$A:$O,15,0),"Введите блюдо")</f>
        <v>0</v>
      </c>
      <c r="P10" s="107" t="s">
        <v>16</v>
      </c>
      <c r="Q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>
        <f>IFERROR($A$4*VLOOKUP(D2,'граммовки'!$A:$T,17,0),"Введите блюдо")</f>
        <v>0</v>
      </c>
      <c r="F11" s="107" t="str">
        <f>IFERROR(VLOOKUP(F2,'граммовки'!$A:$T,16,0),"Введите блюдо")</f>
        <v/>
      </c>
      <c r="G11" s="108">
        <f>IFERROR($A$4*VLOOKUP(F2,'граммовки'!$A:$T,17,0),"Введите блюдо")</f>
        <v>0</v>
      </c>
      <c r="H11" s="107" t="str">
        <f>IFERROR(VLOOKUP(H2,'граммовки'!$A:$T,16,0),"Введите блюдо")</f>
        <v/>
      </c>
      <c r="I11" s="108">
        <f>IFERROR($A$4*VLOOKUP(H2,'граммовки'!$A:$T,17,0),"Введите блюдо")</f>
        <v>0</v>
      </c>
      <c r="J11" s="107" t="str">
        <f>IFERROR(VLOOKUP(J2,'граммовки'!$A:$T,16,0),"Введите блюдо")</f>
        <v/>
      </c>
      <c r="K11" s="108">
        <f>IFERROR($A$4*VLOOKUP(J2,'граммовки'!$A:$T,17,0),"Введите блюдо")</f>
        <v>0</v>
      </c>
      <c r="L11" s="107" t="str">
        <f>IFERROR(VLOOKUP(L2,'граммовки'!$A:$T,16,0),"Введите блюдо")</f>
        <v/>
      </c>
      <c r="M11" s="108">
        <f>IFERROR($A$4*VLOOKUP(L2,'граммовки'!$A:$T,17,0),"Введите блюдо")</f>
        <v>0</v>
      </c>
      <c r="N11" s="107" t="str">
        <f>IFERROR(VLOOKUP(N2,'граммовки'!$A:$T,16,0),"Введите блюдо")</f>
        <v/>
      </c>
      <c r="O11" s="108">
        <f>IFERROR($A$4*VLOOKUP(N2,'граммовки'!$A:$T,17,0),"Введите блюдо")</f>
        <v>0</v>
      </c>
      <c r="P11" s="8"/>
      <c r="Q11" s="8"/>
    </row>
  </sheetData>
  <mergeCells count="15">
    <mergeCell ref="B1:C1"/>
    <mergeCell ref="B2:C2"/>
    <mergeCell ref="D2:E2"/>
    <mergeCell ref="F2:G2"/>
    <mergeCell ref="H2:I2"/>
    <mergeCell ref="J2:K2"/>
    <mergeCell ref="L2:M2"/>
    <mergeCell ref="N2:O2"/>
    <mergeCell ref="D1:E1"/>
    <mergeCell ref="F1:G1"/>
    <mergeCell ref="H1:I1"/>
    <mergeCell ref="J1:K1"/>
    <mergeCell ref="L1:M1"/>
    <mergeCell ref="N1:O1"/>
    <mergeCell ref="P1:Q1"/>
  </mergeCells>
  <dataValidations>
    <dataValidation type="list" allowBlank="1" showErrorMessage="1" sqref="B2 D2 F2 H2 J2 L2 N2">
      <formula1>'граммовки'!$A$2:$A$60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13"/>
  </cols>
  <sheetData>
    <row r="1">
      <c r="A1" s="89" t="s">
        <v>126</v>
      </c>
      <c r="B1" s="118" t="s">
        <v>132</v>
      </c>
      <c r="C1" s="91"/>
      <c r="D1" s="118" t="s">
        <v>132</v>
      </c>
      <c r="E1" s="91"/>
      <c r="F1" s="119" t="s">
        <v>133</v>
      </c>
      <c r="G1" s="91"/>
      <c r="H1" s="119" t="s">
        <v>133</v>
      </c>
      <c r="I1" s="91"/>
      <c r="J1" s="90" t="s">
        <v>127</v>
      </c>
      <c r="K1" s="91"/>
      <c r="L1" s="90" t="s">
        <v>127</v>
      </c>
      <c r="M1" s="91"/>
      <c r="N1" s="120" t="s">
        <v>134</v>
      </c>
      <c r="O1" s="91"/>
      <c r="P1" s="92" t="s">
        <v>128</v>
      </c>
      <c r="Q1" s="91"/>
    </row>
    <row r="2">
      <c r="A2" s="121"/>
      <c r="B2" s="122" t="s">
        <v>100</v>
      </c>
      <c r="C2" s="95"/>
      <c r="D2" s="122" t="s">
        <v>102</v>
      </c>
      <c r="E2" s="95"/>
      <c r="F2" s="122" t="s">
        <v>109</v>
      </c>
      <c r="G2" s="95"/>
      <c r="H2" s="122" t="s">
        <v>121</v>
      </c>
      <c r="I2" s="95"/>
      <c r="J2" s="122" t="s">
        <v>114</v>
      </c>
      <c r="K2" s="95"/>
      <c r="L2" s="125" t="s">
        <v>121</v>
      </c>
      <c r="M2" s="95"/>
      <c r="N2" s="94" t="s">
        <v>105</v>
      </c>
      <c r="O2" s="95"/>
      <c r="P2" s="101" t="s">
        <v>129</v>
      </c>
      <c r="Q2" s="102" t="s">
        <v>130</v>
      </c>
    </row>
    <row r="3">
      <c r="A3" s="123"/>
      <c r="B3" s="101" t="s">
        <v>129</v>
      </c>
      <c r="C3" s="102" t="s">
        <v>131</v>
      </c>
      <c r="D3" s="101" t="s">
        <v>129</v>
      </c>
      <c r="E3" s="102" t="s">
        <v>131</v>
      </c>
      <c r="F3" s="101" t="s">
        <v>129</v>
      </c>
      <c r="G3" s="102" t="s">
        <v>131</v>
      </c>
      <c r="H3" s="101" t="s">
        <v>129</v>
      </c>
      <c r="I3" s="102" t="s">
        <v>131</v>
      </c>
      <c r="J3" s="101" t="s">
        <v>129</v>
      </c>
      <c r="K3" s="102" t="s">
        <v>131</v>
      </c>
      <c r="L3" s="101" t="s">
        <v>129</v>
      </c>
      <c r="M3" s="102" t="s">
        <v>131</v>
      </c>
      <c r="N3" s="101" t="s">
        <v>129</v>
      </c>
      <c r="O3" s="102" t="s">
        <v>131</v>
      </c>
      <c r="P3" s="103" t="s">
        <v>7</v>
      </c>
      <c r="Q3" s="104">
        <v>130.0</v>
      </c>
    </row>
    <row r="4">
      <c r="A4" s="124"/>
      <c r="B4" s="106" t="str">
        <f>IFERROR(VLOOKUP(B2,'граммовки'!$A:$O,2,0),"Введите блюдо")</f>
        <v>Рис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Хлеб</v>
      </c>
      <c r="E4" s="104">
        <f>IFERROR($A$4*VLOOKUP(D2,'граммовки'!$A:$O,3,0),"Введите блюдо")</f>
        <v>0</v>
      </c>
      <c r="F4" s="106" t="str">
        <f>IFERROR(VLOOKUP(F2,'граммовки'!$A:$O,2,0),"Введите блюдо")</f>
        <v>Томатная паста </v>
      </c>
      <c r="G4" s="104">
        <f>IFERROR($A$4*VLOOKUP(F2,'граммовки'!$A:$O,3,0),"Введите блюдо")</f>
        <v>0</v>
      </c>
      <c r="H4" s="106" t="str">
        <f>IFERROR(VLOOKUP(H2,'граммовки'!$A:$O,2,0),"Введите блюдо")</f>
        <v>Огурцы</v>
      </c>
      <c r="I4" s="104">
        <f>IFERROR($A$4*VLOOKUP(H2,'граммовки'!$A:$O,3,0),"Введите блюдо")</f>
        <v>0</v>
      </c>
      <c r="J4" s="106" t="str">
        <f>IFERROR(VLOOKUP(J2,'граммовки'!$A:$O,2,0),"Введите блюдо")</f>
        <v>Рис</v>
      </c>
      <c r="K4" s="104">
        <f>IFERROR($A$4*VLOOKUP(J2,'граммовки'!$A:$O,3,0),"Введите блюдо")</f>
        <v>0</v>
      </c>
      <c r="L4" s="106" t="str">
        <f>IFERROR(VLOOKUP(L2,'граммовки'!$A:$O,2,0),"Введите блюдо")</f>
        <v>Огурцы</v>
      </c>
      <c r="M4" s="104">
        <f>IFERROR($A$4*VLOOKUP(L2,'граммовки'!$A:$O,3,0),"Введите блюдо")</f>
        <v>0</v>
      </c>
      <c r="N4" s="106" t="str">
        <f>IFERROR(VLOOKUP(N2,'граммовки'!$A:$O,2,0),"Введите блюдо")</f>
        <v>Хлеб</v>
      </c>
      <c r="O4" s="104">
        <f>IFERROR($A$4*VLOOKUP(N2,'граммовки'!$A:$O,3,0),"Введите блюдо")</f>
        <v>0</v>
      </c>
      <c r="P4" s="103" t="s">
        <v>9</v>
      </c>
      <c r="Q4" s="104">
        <v>0.0</v>
      </c>
    </row>
    <row r="5">
      <c r="A5" s="8"/>
      <c r="B5" s="103" t="str">
        <f>IFERROR(VLOOKUP(B2,'граммовки'!$A:$O,4,0),"Введите блюдо")</f>
        <v>Сгущёнка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Плавленный сыр</v>
      </c>
      <c r="E5" s="104">
        <f>IFERROR($A$4*VLOOKUP(D2,'граммовки'!$A:$O,5,0),"Введите блюдо")</f>
        <v>0</v>
      </c>
      <c r="F5" s="103" t="str">
        <f>IFERROR(VLOOKUP(F2,'граммовки'!$A:$O,4,0),"Введите блюдо")</f>
        <v>Говядина тушёная</v>
      </c>
      <c r="G5" s="104">
        <f>IFERROR($A$4*VLOOKUP(F2,'граммовки'!$A:$O,5,0),"Введите блюдо")</f>
        <v>0</v>
      </c>
      <c r="H5" s="103" t="str">
        <f>IFERROR(VLOOKUP(H2,'граммовки'!$A:$O,4,0),"Введите блюдо")</f>
        <v>Помидоры</v>
      </c>
      <c r="I5" s="104">
        <f>IFERROR($A$4*VLOOKUP(H2,'граммовки'!$A:$O,5,0),"Введите блюдо")</f>
        <v>0</v>
      </c>
      <c r="J5" s="103" t="str">
        <f>IFERROR(VLOOKUP(J2,'граммовки'!$A:$O,4,0),"Введите блюдо")</f>
        <v>Куриное филе</v>
      </c>
      <c r="K5" s="104">
        <f>IFERROR($A$4*VLOOKUP(J2,'граммовки'!$A:$O,5,0),"Введите блюдо")</f>
        <v>0</v>
      </c>
      <c r="L5" s="103" t="str">
        <f>IFERROR(VLOOKUP(L2,'граммовки'!$A:$O,4,0),"Введите блюдо")</f>
        <v>Помидоры</v>
      </c>
      <c r="M5" s="104">
        <f>IFERROR($A$4*VLOOKUP(L2,'граммовки'!$A:$O,5,0),"Введите блюдо")</f>
        <v>0</v>
      </c>
      <c r="N5" s="103" t="str">
        <f>IFERROR(VLOOKUP(N2,'граммовки'!$A:$O,4,0),"Введите блюдо")</f>
        <v>Молоко</v>
      </c>
      <c r="O5" s="104">
        <f>IFERROR($A$4*VLOOKUP(N2,'граммовки'!$A:$O,5,0),"Введите блюдо")</f>
        <v>0</v>
      </c>
      <c r="P5" s="103" t="s">
        <v>10</v>
      </c>
      <c r="Q5" s="104">
        <v>100.0</v>
      </c>
    </row>
    <row r="6">
      <c r="A6" s="8"/>
      <c r="B6" s="103" t="str">
        <f>IFERROR(VLOOKUP(B2,'граммовки'!$A:$O,6,0),"Введите блюдо")</f>
        <v>Молоко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>Огурцы</v>
      </c>
      <c r="E6" s="104">
        <f>IFERROR($A$4*VLOOKUP(D2,'граммовки'!$A:$O,7,0),"Введите блюдо")</f>
        <v>0</v>
      </c>
      <c r="F6" s="103" t="str">
        <f>IFERROR(VLOOKUP(F2,'граммовки'!$A:$O,6,0),"Введите блюдо")</f>
        <v>Лук</v>
      </c>
      <c r="G6" s="104">
        <f>IFERROR($A$4*VLOOKUP(F2,'граммовки'!$A:$O,7,0),"Введите блюдо")</f>
        <v>0</v>
      </c>
      <c r="H6" s="103" t="str">
        <f>IFERROR(VLOOKUP(H2,'граммовки'!$A:$O,6,0),"Введите блюдо")</f>
        <v/>
      </c>
      <c r="I6" s="104">
        <f>IFERROR($A$4*VLOOKUP(H2,'граммовки'!$A:$O,7,0),"Введите блюдо")</f>
        <v>0</v>
      </c>
      <c r="J6" s="103" t="str">
        <f>IFERROR(VLOOKUP(J2,'граммовки'!$A:$O,6,0),"Введите блюдо")</f>
        <v>Морковь</v>
      </c>
      <c r="K6" s="104">
        <f>IFERROR($A$4*VLOOKUP(J2,'граммовки'!$A:$O,7,0),"Введите блюдо")</f>
        <v>0</v>
      </c>
      <c r="L6" s="103" t="str">
        <f>IFERROR(VLOOKUP(L2,'граммовки'!$A:$O,6,0),"Введите блюдо")</f>
        <v/>
      </c>
      <c r="M6" s="104">
        <f>IFERROR($A$4*VLOOKUP(L2,'граммовки'!$A:$O,7,0),"Введите блюдо")</f>
        <v>0</v>
      </c>
      <c r="N6" s="103" t="str">
        <f>IFERROR(VLOOKUP(N2,'граммовки'!$A:$O,6,0),"Введите блюдо")</f>
        <v>Яйца (30 шт)</v>
      </c>
      <c r="O6" s="104">
        <f>IFERROR($A$4*VLOOKUP(N2,'граммовки'!$A:$O,7,0),"Введите блюдо")</f>
        <v>0</v>
      </c>
      <c r="P6" s="103" t="s">
        <v>11</v>
      </c>
      <c r="Q6" s="104">
        <v>500.0</v>
      </c>
    </row>
    <row r="7">
      <c r="A7" s="8"/>
      <c r="B7" s="103" t="str">
        <f>IFERROR(VLOOKUP(B2,'граммовки'!$A:$O,8,0),"Введите блюдо")</f>
        <v/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>
        <f>IFERROR($A$4*VLOOKUP(D2,'граммовки'!$A:$O,9,0),"Введите блюдо")</f>
        <v>0</v>
      </c>
      <c r="F7" s="103" t="str">
        <f>IFERROR(VLOOKUP(F2,'граммовки'!$A:$O,8,0),"Введите блюдо")</f>
        <v>Морковь</v>
      </c>
      <c r="G7" s="104">
        <f>IFERROR($A$4*VLOOKUP(F2,'граммовки'!$A:$O,9,0),"Введите блюдо")</f>
        <v>0</v>
      </c>
      <c r="H7" s="103" t="str">
        <f>IFERROR(VLOOKUP(H2,'граммовки'!$A:$O,8,0),"Введите блюдо")</f>
        <v/>
      </c>
      <c r="I7" s="104">
        <f>IFERROR($A$4*VLOOKUP(H2,'граммовки'!$A:$O,9,0),"Введите блюдо")</f>
        <v>0</v>
      </c>
      <c r="J7" s="103" t="str">
        <f>IFERROR(VLOOKUP(J2,'граммовки'!$A:$O,8,0),"Введите блюдо")</f>
        <v>Лук</v>
      </c>
      <c r="K7" s="104">
        <f>IFERROR($A$4*VLOOKUP(J2,'граммовки'!$A:$O,9,0),"Введите блюдо")</f>
        <v>0</v>
      </c>
      <c r="L7" s="103" t="str">
        <f>IFERROR(VLOOKUP(L2,'граммовки'!$A:$O,8,0),"Введите блюдо")</f>
        <v/>
      </c>
      <c r="M7" s="104">
        <f>IFERROR($A$4*VLOOKUP(L2,'граммовки'!$A:$O,9,0),"Введите блюдо")</f>
        <v>0</v>
      </c>
      <c r="N7" s="103" t="str">
        <f>IFERROR(VLOOKUP(N2,'граммовки'!$A:$O,8,0),"Введите блюдо")</f>
        <v>Сахар</v>
      </c>
      <c r="O7" s="104">
        <f>IFERROR($A$4*VLOOKUP(N2,'граммовки'!$A:$O,9,0),"Введите блюдо")</f>
        <v>0</v>
      </c>
      <c r="P7" s="103" t="s">
        <v>12</v>
      </c>
      <c r="Q7" s="104">
        <v>20.0</v>
      </c>
    </row>
    <row r="8">
      <c r="A8" s="8"/>
      <c r="B8" s="103" t="str">
        <f>IFERROR(VLOOKUP(B2,'граммовки'!$A:$O,10,0),"Введите блюдо")</f>
        <v/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>
        <f>IFERROR($A$4*VLOOKUP(D2,'граммовки'!$A:$O,11,0),"Введите блюдо")</f>
        <v>0</v>
      </c>
      <c r="F8" s="103" t="str">
        <f>IFERROR(VLOOKUP(F2,'граммовки'!$A:$O,10,0),"Введите блюдо")</f>
        <v>Фасоль</v>
      </c>
      <c r="G8" s="104">
        <f>IFERROR($A$4*VLOOKUP(F2,'граммовки'!$A:$O,11,0),"Введите блюдо")</f>
        <v>0</v>
      </c>
      <c r="H8" s="103" t="str">
        <f>IFERROR(VLOOKUP(H2,'граммовки'!$A:$O,10,0),"Введите блюдо")</f>
        <v/>
      </c>
      <c r="I8" s="104">
        <f>IFERROR($A$4*VLOOKUP(H2,'граммовки'!$A:$O,11,0),"Введите блюдо")</f>
        <v>0</v>
      </c>
      <c r="J8" s="103" t="str">
        <f>IFERROR(VLOOKUP(J2,'граммовки'!$A:$O,10,0),"Введите блюдо")</f>
        <v>Приправа для плова</v>
      </c>
      <c r="K8" s="104">
        <f>IFERROR($A$4*VLOOKUP(J2,'граммовки'!$A:$O,11,0),"Введите блюдо")</f>
        <v>0</v>
      </c>
      <c r="L8" s="103" t="str">
        <f>IFERROR(VLOOKUP(L2,'граммовки'!$A:$O,10,0),"Введите блюдо")</f>
        <v/>
      </c>
      <c r="M8" s="104">
        <f>IFERROR($A$4*VLOOKUP(L2,'граммовки'!$A:$O,11,0),"Введите блюдо")</f>
        <v>0</v>
      </c>
      <c r="N8" s="103" t="str">
        <f>IFERROR(VLOOKUP(N2,'граммовки'!$A:$O,10,0),"Введите блюдо")</f>
        <v/>
      </c>
      <c r="O8" s="104">
        <f>IFERROR($A$4*VLOOKUP(N2,'граммовки'!$A:$O,11,0),"Введите блюдо")</f>
        <v>0</v>
      </c>
      <c r="P8" s="103" t="s">
        <v>13</v>
      </c>
      <c r="Q8" s="104">
        <v>20.0</v>
      </c>
    </row>
    <row r="9">
      <c r="A9" s="8"/>
      <c r="B9" s="103" t="str">
        <f>IFERROR(VLOOKUP(B2,'граммовки'!$A:$O,12,0),"Введите блюдо")</f>
        <v/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>
        <f>IFERROR($A$4*VLOOKUP(D2,'граммовки'!$A:$O,13,0),"Введите блюдо")</f>
        <v>0</v>
      </c>
      <c r="F9" s="103" t="str">
        <f>IFERROR(VLOOKUP(F2,'граммовки'!$A:$O,12,0),"Введите блюдо")</f>
        <v>Картофель</v>
      </c>
      <c r="G9" s="104">
        <f>IFERROR($A$4*VLOOKUP(F2,'граммовки'!$A:$O,13,0),"Введите блюдо")</f>
        <v>0</v>
      </c>
      <c r="H9" s="103" t="str">
        <f>IFERROR(VLOOKUP(H2,'граммовки'!$A:$O,12,0),"Введите блюдо")</f>
        <v/>
      </c>
      <c r="I9" s="104">
        <f>IFERROR($A$4*VLOOKUP(H2,'граммовки'!$A:$O,13,0),"Введите блюдо")</f>
        <v>0</v>
      </c>
      <c r="J9" s="103" t="str">
        <f>IFERROR(VLOOKUP(J2,'граммовки'!$A:$O,12,0),"Введите блюдо")</f>
        <v/>
      </c>
      <c r="K9" s="104">
        <f>IFERROR($A$4*VLOOKUP(J2,'граммовки'!$A:$O,13,0),"Введите блюдо")</f>
        <v>0</v>
      </c>
      <c r="L9" s="103" t="str">
        <f>IFERROR(VLOOKUP(L2,'граммовки'!$A:$O,12,0),"Введите блюдо")</f>
        <v/>
      </c>
      <c r="M9" s="104">
        <f>IFERROR($A$4*VLOOKUP(L2,'граммовки'!$A:$O,13,0),"Введите блюдо")</f>
        <v>0</v>
      </c>
      <c r="N9" s="103" t="str">
        <f>IFERROR(VLOOKUP(N2,'граммовки'!$A:$O,12,0),"Введите блюдо")</f>
        <v/>
      </c>
      <c r="O9" s="104">
        <f>IFERROR($A$4*VLOOKUP(N2,'граммовки'!$A:$O,13,0),"Введите блюдо")</f>
        <v>0</v>
      </c>
      <c r="P9" s="103" t="s">
        <v>14</v>
      </c>
      <c r="Q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>
        <f>IFERROR($A$4*VLOOKUP(D2,'граммовки'!$A:$O,15,0),"Введите блюдо")</f>
        <v>0</v>
      </c>
      <c r="F10" s="103" t="str">
        <f>IFERROR(VLOOKUP(F2,'граммовки'!$A:$O,14,0),"Введите блюдо")</f>
        <v>Заготовка для супа сухая</v>
      </c>
      <c r="G10" s="104">
        <f>IFERROR($A$4*VLOOKUP(F2,'граммовки'!$A:$O,15,0),"Введите блюдо")</f>
        <v>0</v>
      </c>
      <c r="H10" s="103" t="str">
        <f>IFERROR(VLOOKUP(H2,'граммовки'!$A:$O,14,0),"Введите блюдо")</f>
        <v/>
      </c>
      <c r="I10" s="104">
        <f>IFERROR($A$4*VLOOKUP(H2,'граммовки'!$A:$O,15,0),"Введите блюдо")</f>
        <v>0</v>
      </c>
      <c r="J10" s="103" t="str">
        <f>IFERROR(VLOOKUP(J2,'граммовки'!$A:$O,14,0),"Введите блюдо")</f>
        <v/>
      </c>
      <c r="K10" s="104">
        <f>IFERROR($A$4*VLOOKUP(J2,'граммовки'!$A:$O,15,0),"Введите блюдо")</f>
        <v>0</v>
      </c>
      <c r="L10" s="103" t="str">
        <f>IFERROR(VLOOKUP(L2,'граммовки'!$A:$O,14,0),"Введите блюдо")</f>
        <v/>
      </c>
      <c r="M10" s="104">
        <f>IFERROR($A$4*VLOOKUP(L2,'граммовки'!$A:$O,15,0),"Введите блюдо")</f>
        <v>0</v>
      </c>
      <c r="N10" s="103" t="str">
        <f>IFERROR(VLOOKUP(N2,'граммовки'!$A:$O,14,0),"Введите блюдо")</f>
        <v/>
      </c>
      <c r="O10" s="104">
        <f>IFERROR($A$4*VLOOKUP(N2,'граммовки'!$A:$O,15,0),"Введите блюдо")</f>
        <v>0</v>
      </c>
      <c r="P10" s="107" t="s">
        <v>16</v>
      </c>
      <c r="Q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>
        <f>IFERROR($A$4*VLOOKUP(D2,'граммовки'!$A:$T,17,0),"Введите блюдо")</f>
        <v>0</v>
      </c>
      <c r="F11" s="107" t="str">
        <f>IFERROR(VLOOKUP(F2,'граммовки'!$A:$T,16,0),"Введите блюдо")</f>
        <v/>
      </c>
      <c r="G11" s="108">
        <f>IFERROR($A$4*VLOOKUP(F2,'граммовки'!$A:$T,17,0),"Введите блюдо")</f>
        <v>0</v>
      </c>
      <c r="H11" s="107" t="str">
        <f>IFERROR(VLOOKUP(H2,'граммовки'!$A:$T,16,0),"Введите блюдо")</f>
        <v/>
      </c>
      <c r="I11" s="108">
        <f>IFERROR($A$4*VLOOKUP(H2,'граммовки'!$A:$T,17,0),"Введите блюдо")</f>
        <v>0</v>
      </c>
      <c r="J11" s="107" t="str">
        <f>IFERROR(VLOOKUP(J2,'граммовки'!$A:$T,16,0),"Введите блюдо")</f>
        <v/>
      </c>
      <c r="K11" s="108">
        <f>IFERROR($A$4*VLOOKUP(J2,'граммовки'!$A:$T,17,0),"Введите блюдо")</f>
        <v>0</v>
      </c>
      <c r="L11" s="107" t="str">
        <f>IFERROR(VLOOKUP(L2,'граммовки'!$A:$T,16,0),"Введите блюдо")</f>
        <v/>
      </c>
      <c r="M11" s="108">
        <f>IFERROR($A$4*VLOOKUP(L2,'граммовки'!$A:$T,17,0),"Введите блюдо")</f>
        <v>0</v>
      </c>
      <c r="N11" s="107" t="str">
        <f>IFERROR(VLOOKUP(N2,'граммовки'!$A:$T,16,0),"Введите блюдо")</f>
        <v/>
      </c>
      <c r="O11" s="108">
        <f>IFERROR($A$4*VLOOKUP(N2,'граммовки'!$A:$T,17,0),"Введите блюдо")</f>
        <v>0</v>
      </c>
      <c r="P11" s="8"/>
      <c r="Q11" s="8"/>
    </row>
  </sheetData>
  <mergeCells count="15">
    <mergeCell ref="B1:C1"/>
    <mergeCell ref="B2:C2"/>
    <mergeCell ref="D2:E2"/>
    <mergeCell ref="F2:G2"/>
    <mergeCell ref="H2:I2"/>
    <mergeCell ref="J2:K2"/>
    <mergeCell ref="L2:M2"/>
    <mergeCell ref="N2:O2"/>
    <mergeCell ref="D1:E1"/>
    <mergeCell ref="F1:G1"/>
    <mergeCell ref="H1:I1"/>
    <mergeCell ref="J1:K1"/>
    <mergeCell ref="L1:M1"/>
    <mergeCell ref="N1:O1"/>
    <mergeCell ref="P1:Q1"/>
  </mergeCells>
  <dataValidations>
    <dataValidation type="list" allowBlank="1" showErrorMessage="1" sqref="B2 D2 F2 H2 J2 L2 N2">
      <formula1>'граммовки'!$A$2:$A$60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13"/>
  </cols>
  <sheetData>
    <row r="1">
      <c r="A1" s="89" t="s">
        <v>126</v>
      </c>
      <c r="B1" s="118" t="s">
        <v>132</v>
      </c>
      <c r="C1" s="91"/>
      <c r="D1" s="118" t="s">
        <v>132</v>
      </c>
      <c r="E1" s="91"/>
      <c r="F1" s="119" t="s">
        <v>133</v>
      </c>
      <c r="G1" s="91"/>
      <c r="H1" s="119" t="s">
        <v>133</v>
      </c>
      <c r="I1" s="91"/>
      <c r="J1" s="90" t="s">
        <v>127</v>
      </c>
      <c r="K1" s="91"/>
      <c r="L1" s="90" t="s">
        <v>127</v>
      </c>
      <c r="M1" s="91"/>
      <c r="N1" s="120" t="s">
        <v>134</v>
      </c>
      <c r="O1" s="91"/>
      <c r="P1" s="92" t="s">
        <v>128</v>
      </c>
      <c r="Q1" s="91"/>
    </row>
    <row r="2">
      <c r="A2" s="121"/>
      <c r="B2" s="122" t="s">
        <v>97</v>
      </c>
      <c r="C2" s="95"/>
      <c r="D2" s="122" t="s">
        <v>103</v>
      </c>
      <c r="E2" s="95"/>
      <c r="F2" s="122" t="s">
        <v>112</v>
      </c>
      <c r="G2" s="95"/>
      <c r="H2" s="122" t="s">
        <v>121</v>
      </c>
      <c r="I2" s="95"/>
      <c r="J2" s="125" t="s">
        <v>118</v>
      </c>
      <c r="K2" s="95"/>
      <c r="L2" s="122" t="s">
        <v>122</v>
      </c>
      <c r="M2" s="95"/>
      <c r="N2" s="94" t="s">
        <v>101</v>
      </c>
      <c r="O2" s="95"/>
      <c r="P2" s="101" t="s">
        <v>129</v>
      </c>
      <c r="Q2" s="102" t="s">
        <v>130</v>
      </c>
    </row>
    <row r="3">
      <c r="A3" s="123"/>
      <c r="B3" s="101" t="s">
        <v>129</v>
      </c>
      <c r="C3" s="102" t="s">
        <v>131</v>
      </c>
      <c r="D3" s="101" t="s">
        <v>129</v>
      </c>
      <c r="E3" s="102" t="s">
        <v>131</v>
      </c>
      <c r="F3" s="101" t="s">
        <v>129</v>
      </c>
      <c r="G3" s="102" t="s">
        <v>131</v>
      </c>
      <c r="H3" s="101" t="s">
        <v>129</v>
      </c>
      <c r="I3" s="102" t="s">
        <v>131</v>
      </c>
      <c r="J3" s="101" t="s">
        <v>129</v>
      </c>
      <c r="K3" s="102" t="s">
        <v>131</v>
      </c>
      <c r="L3" s="101" t="s">
        <v>129</v>
      </c>
      <c r="M3" s="102" t="s">
        <v>131</v>
      </c>
      <c r="N3" s="101" t="s">
        <v>129</v>
      </c>
      <c r="O3" s="102" t="s">
        <v>131</v>
      </c>
      <c r="P3" s="103" t="s">
        <v>7</v>
      </c>
      <c r="Q3" s="104">
        <v>130.0</v>
      </c>
    </row>
    <row r="4">
      <c r="A4" s="124"/>
      <c r="B4" s="106" t="str">
        <f>IFERROR(VLOOKUP(B2,'граммовки'!$A:$O,2,0),"Введите блюдо")</f>
        <v>Овсяная крупа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Хлеб</v>
      </c>
      <c r="E4" s="104">
        <f>IFERROR($A$4*VLOOKUP(D2,'граммовки'!$A:$O,3,0),"Введите блюдо")</f>
        <v>0</v>
      </c>
      <c r="F4" s="106" t="str">
        <f>IFERROR(VLOOKUP(F2,'граммовки'!$A:$O,2,0),"Введите блюдо")</f>
        <v>Макароны</v>
      </c>
      <c r="G4" s="104">
        <f>IFERROR($A$4*VLOOKUP(F2,'граммовки'!$A:$O,3,0),"Введите блюдо")</f>
        <v>0</v>
      </c>
      <c r="H4" s="106" t="str">
        <f>IFERROR(VLOOKUP(H2,'граммовки'!$A:$O,2,0),"Введите блюдо")</f>
        <v>Огурцы</v>
      </c>
      <c r="I4" s="104">
        <f>IFERROR($A$4*VLOOKUP(H2,'граммовки'!$A:$O,3,0),"Введите блюдо")</f>
        <v>0</v>
      </c>
      <c r="J4" s="106" t="str">
        <f>IFERROR(VLOOKUP(J2,'граммовки'!$A:$O,2,0),"Введите блюдо")</f>
        <v>Лапша (для лагмана) / Сухая яичная лапша</v>
      </c>
      <c r="K4" s="104">
        <f>IFERROR($A$4*VLOOKUP(J2,'граммовки'!$A:$O,3,0),"Введите блюдо")</f>
        <v>0</v>
      </c>
      <c r="L4" s="106" t="str">
        <f>IFERROR(VLOOKUP(L2,'граммовки'!$A:$O,2,0),"Введите блюдо")</f>
        <v>Капуста</v>
      </c>
      <c r="M4" s="104">
        <f>IFERROR($A$4*VLOOKUP(L2,'граммовки'!$A:$O,3,0),"Введите блюдо")</f>
        <v>0</v>
      </c>
      <c r="N4" s="106" t="str">
        <f>IFERROR(VLOOKUP(N2,'граммовки'!$A:$O,2,0),"Введите блюдо")</f>
        <v>Хлеб</v>
      </c>
      <c r="O4" s="104">
        <f>IFERROR($A$4*VLOOKUP(N2,'граммовки'!$A:$O,3,0),"Введите блюдо")</f>
        <v>0</v>
      </c>
      <c r="P4" s="103" t="s">
        <v>9</v>
      </c>
      <c r="Q4" s="104">
        <v>0.0</v>
      </c>
    </row>
    <row r="5">
      <c r="A5" s="8"/>
      <c r="B5" s="103" t="str">
        <f>IFERROR(VLOOKUP(B2,'граммовки'!$A:$O,4,0),"Введите блюдо")</f>
        <v>Джем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Плавленный сыр</v>
      </c>
      <c r="E5" s="104">
        <f>IFERROR($A$4*VLOOKUP(D2,'граммовки'!$A:$O,5,0),"Введите блюдо")</f>
        <v>0</v>
      </c>
      <c r="F5" s="103" t="str">
        <f>IFERROR(VLOOKUP(F2,'граммовки'!$A:$O,4,0),"Введите блюдо")</f>
        <v>Говядина тушёная</v>
      </c>
      <c r="G5" s="104">
        <f>IFERROR($A$4*VLOOKUP(F2,'граммовки'!$A:$O,5,0),"Введите блюдо")</f>
        <v>0</v>
      </c>
      <c r="H5" s="103" t="str">
        <f>IFERROR(VLOOKUP(H2,'граммовки'!$A:$O,4,0),"Введите блюдо")</f>
        <v>Помидоры</v>
      </c>
      <c r="I5" s="104">
        <f>IFERROR($A$4*VLOOKUP(H2,'граммовки'!$A:$O,5,0),"Введите блюдо")</f>
        <v>0</v>
      </c>
      <c r="J5" s="103" t="str">
        <f>IFERROR(VLOOKUP(J2,'граммовки'!$A:$O,4,0),"Введите блюдо")</f>
        <v>Куриное филе</v>
      </c>
      <c r="K5" s="104">
        <f>IFERROR($A$4*VLOOKUP(J2,'граммовки'!$A:$O,5,0),"Введите блюдо")</f>
        <v>0</v>
      </c>
      <c r="L5" s="103" t="str">
        <f>IFERROR(VLOOKUP(L2,'граммовки'!$A:$O,4,0),"Введите блюдо")</f>
        <v>Огурцы</v>
      </c>
      <c r="M5" s="104">
        <f>IFERROR($A$4*VLOOKUP(L2,'граммовки'!$A:$O,5,0),"Введите блюдо")</f>
        <v>0</v>
      </c>
      <c r="N5" s="103" t="str">
        <f>IFERROR(VLOOKUP(N2,'граммовки'!$A:$O,4,0),"Введите блюдо")</f>
        <v>Плавленный сыр</v>
      </c>
      <c r="O5" s="104">
        <f>IFERROR($A$4*VLOOKUP(N2,'граммовки'!$A:$O,5,0),"Введите блюдо")</f>
        <v>0</v>
      </c>
      <c r="P5" s="103" t="s">
        <v>10</v>
      </c>
      <c r="Q5" s="104">
        <v>100.0</v>
      </c>
    </row>
    <row r="6">
      <c r="A6" s="8"/>
      <c r="B6" s="103" t="str">
        <f>IFERROR(VLOOKUP(B2,'граммовки'!$A:$O,6,0),"Введите блюдо")</f>
        <v>Молоко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>Помидоры</v>
      </c>
      <c r="E6" s="104">
        <f>IFERROR($A$4*VLOOKUP(D2,'граммовки'!$A:$O,7,0),"Введите блюдо")</f>
        <v>0</v>
      </c>
      <c r="F6" s="103" t="str">
        <f>IFERROR(VLOOKUP(F2,'граммовки'!$A:$O,6,0),"Введите блюдо")</f>
        <v>Томатная паста </v>
      </c>
      <c r="G6" s="104">
        <f>IFERROR($A$4*VLOOKUP(F2,'граммовки'!$A:$O,7,0),"Введите блюдо")</f>
        <v>0</v>
      </c>
      <c r="H6" s="103" t="str">
        <f>IFERROR(VLOOKUP(H2,'граммовки'!$A:$O,6,0),"Введите блюдо")</f>
        <v/>
      </c>
      <c r="I6" s="104">
        <f>IFERROR($A$4*VLOOKUP(H2,'граммовки'!$A:$O,7,0),"Введите блюдо")</f>
        <v>0</v>
      </c>
      <c r="J6" s="103" t="str">
        <f>IFERROR(VLOOKUP(J2,'граммовки'!$A:$O,6,0),"Введите блюдо")</f>
        <v>Лук</v>
      </c>
      <c r="K6" s="104">
        <f>IFERROR($A$4*VLOOKUP(J2,'граммовки'!$A:$O,7,0),"Введите блюдо")</f>
        <v>0</v>
      </c>
      <c r="L6" s="103" t="str">
        <f>IFERROR(VLOOKUP(L2,'граммовки'!$A:$O,6,0),"Введите блюдо")</f>
        <v>Редис</v>
      </c>
      <c r="M6" s="104">
        <f>IFERROR($A$4*VLOOKUP(L2,'граммовки'!$A:$O,7,0),"Введите блюдо")</f>
        <v>0</v>
      </c>
      <c r="N6" s="103" t="str">
        <f>IFERROR(VLOOKUP(N2,'граммовки'!$A:$O,6,0),"Введите блюдо")</f>
        <v/>
      </c>
      <c r="O6" s="104">
        <f>IFERROR($A$4*VLOOKUP(N2,'граммовки'!$A:$O,7,0),"Введите блюдо")</f>
        <v>0</v>
      </c>
      <c r="P6" s="103" t="s">
        <v>11</v>
      </c>
      <c r="Q6" s="104">
        <v>500.0</v>
      </c>
    </row>
    <row r="7">
      <c r="A7" s="8"/>
      <c r="B7" s="103" t="str">
        <f>IFERROR(VLOOKUP(B2,'граммовки'!$A:$O,8,0),"Введите блюдо")</f>
        <v/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>
        <f>IFERROR($A$4*VLOOKUP(D2,'граммовки'!$A:$O,9,0),"Введите блюдо")</f>
        <v>0</v>
      </c>
      <c r="F7" s="103" t="str">
        <f>IFERROR(VLOOKUP(F2,'граммовки'!$A:$O,8,0),"Введите блюдо")</f>
        <v>Лук</v>
      </c>
      <c r="G7" s="104">
        <f>IFERROR($A$4*VLOOKUP(F2,'граммовки'!$A:$O,9,0),"Введите блюдо")</f>
        <v>0</v>
      </c>
      <c r="H7" s="103" t="str">
        <f>IFERROR(VLOOKUP(H2,'граммовки'!$A:$O,8,0),"Введите блюдо")</f>
        <v/>
      </c>
      <c r="I7" s="104">
        <f>IFERROR($A$4*VLOOKUP(H2,'граммовки'!$A:$O,9,0),"Введите блюдо")</f>
        <v>0</v>
      </c>
      <c r="J7" s="103" t="str">
        <f>IFERROR(VLOOKUP(J2,'граммовки'!$A:$O,8,0),"Введите блюдо")</f>
        <v>Морковь</v>
      </c>
      <c r="K7" s="104">
        <f>IFERROR($A$4*VLOOKUP(J2,'граммовки'!$A:$O,9,0),"Введите блюдо")</f>
        <v>0</v>
      </c>
      <c r="L7" s="103" t="str">
        <f>IFERROR(VLOOKUP(L2,'граммовки'!$A:$O,8,0),"Введите блюдо")</f>
        <v/>
      </c>
      <c r="M7" s="104">
        <f>IFERROR($A$4*VLOOKUP(L2,'граммовки'!$A:$O,9,0),"Введите блюдо")</f>
        <v>0</v>
      </c>
      <c r="N7" s="103" t="str">
        <f>IFERROR(VLOOKUP(N2,'граммовки'!$A:$O,8,0),"Введите блюдо")</f>
        <v/>
      </c>
      <c r="O7" s="104">
        <f>IFERROR($A$4*VLOOKUP(N2,'граммовки'!$A:$O,9,0),"Введите блюдо")</f>
        <v>0</v>
      </c>
      <c r="P7" s="103" t="s">
        <v>12</v>
      </c>
      <c r="Q7" s="104">
        <v>20.0</v>
      </c>
    </row>
    <row r="8">
      <c r="A8" s="8"/>
      <c r="B8" s="103" t="str">
        <f>IFERROR(VLOOKUP(B2,'граммовки'!$A:$O,10,0),"Введите блюдо")</f>
        <v/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>
        <f>IFERROR($A$4*VLOOKUP(D2,'граммовки'!$A:$O,11,0),"Введите блюдо")</f>
        <v>0</v>
      </c>
      <c r="F8" s="103" t="str">
        <f>IFERROR(VLOOKUP(F2,'граммовки'!$A:$O,10,0),"Введите блюдо")</f>
        <v>Морковь</v>
      </c>
      <c r="G8" s="104">
        <f>IFERROR($A$4*VLOOKUP(F2,'граммовки'!$A:$O,11,0),"Введите блюдо")</f>
        <v>0</v>
      </c>
      <c r="H8" s="103" t="str">
        <f>IFERROR(VLOOKUP(H2,'граммовки'!$A:$O,10,0),"Введите блюдо")</f>
        <v/>
      </c>
      <c r="I8" s="104">
        <f>IFERROR($A$4*VLOOKUP(H2,'граммовки'!$A:$O,11,0),"Введите блюдо")</f>
        <v>0</v>
      </c>
      <c r="J8" s="103" t="str">
        <f>IFERROR(VLOOKUP(J2,'граммовки'!$A:$O,10,0),"Введите блюдо")</f>
        <v>Помидоры</v>
      </c>
      <c r="K8" s="104">
        <f>IFERROR($A$4*VLOOKUP(J2,'граммовки'!$A:$O,11,0),"Введите блюдо")</f>
        <v>0</v>
      </c>
      <c r="L8" s="103" t="str">
        <f>IFERROR(VLOOKUP(L2,'граммовки'!$A:$O,10,0),"Введите блюдо")</f>
        <v/>
      </c>
      <c r="M8" s="104">
        <f>IFERROR($A$4*VLOOKUP(L2,'граммовки'!$A:$O,11,0),"Введите блюдо")</f>
        <v>0</v>
      </c>
      <c r="N8" s="103" t="str">
        <f>IFERROR(VLOOKUP(N2,'граммовки'!$A:$O,10,0),"Введите блюдо")</f>
        <v/>
      </c>
      <c r="O8" s="104">
        <f>IFERROR($A$4*VLOOKUP(N2,'граммовки'!$A:$O,11,0),"Введите блюдо")</f>
        <v>0</v>
      </c>
      <c r="P8" s="103" t="s">
        <v>13</v>
      </c>
      <c r="Q8" s="104">
        <v>20.0</v>
      </c>
    </row>
    <row r="9">
      <c r="A9" s="8"/>
      <c r="B9" s="103" t="str">
        <f>IFERROR(VLOOKUP(B2,'граммовки'!$A:$O,12,0),"Введите блюдо")</f>
        <v/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>
        <f>IFERROR($A$4*VLOOKUP(D2,'граммовки'!$A:$O,13,0),"Введите блюдо")</f>
        <v>0</v>
      </c>
      <c r="F9" s="103" t="str">
        <f>IFERROR(VLOOKUP(F2,'граммовки'!$A:$O,12,0),"Введите блюдо")</f>
        <v/>
      </c>
      <c r="G9" s="104">
        <f>IFERROR($A$4*VLOOKUP(F2,'граммовки'!$A:$O,13,0),"Введите блюдо")</f>
        <v>0</v>
      </c>
      <c r="H9" s="103" t="str">
        <f>IFERROR(VLOOKUP(H2,'граммовки'!$A:$O,12,0),"Введите блюдо")</f>
        <v/>
      </c>
      <c r="I9" s="104">
        <f>IFERROR($A$4*VLOOKUP(H2,'граммовки'!$A:$O,13,0),"Введите блюдо")</f>
        <v>0</v>
      </c>
      <c r="J9" s="103" t="str">
        <f>IFERROR(VLOOKUP(J2,'граммовки'!$A:$O,12,0),"Введите блюдо")</f>
        <v>Томатная паста </v>
      </c>
      <c r="K9" s="104">
        <f>IFERROR($A$4*VLOOKUP(J2,'граммовки'!$A:$O,13,0),"Введите блюдо")</f>
        <v>0</v>
      </c>
      <c r="L9" s="103" t="str">
        <f>IFERROR(VLOOKUP(L2,'граммовки'!$A:$O,12,0),"Введите блюдо")</f>
        <v/>
      </c>
      <c r="M9" s="104">
        <f>IFERROR($A$4*VLOOKUP(L2,'граммовки'!$A:$O,13,0),"Введите блюдо")</f>
        <v>0</v>
      </c>
      <c r="N9" s="103" t="str">
        <f>IFERROR(VLOOKUP(N2,'граммовки'!$A:$O,12,0),"Введите блюдо")</f>
        <v/>
      </c>
      <c r="O9" s="104">
        <f>IFERROR($A$4*VLOOKUP(N2,'граммовки'!$A:$O,13,0),"Введите блюдо")</f>
        <v>0</v>
      </c>
      <c r="P9" s="103" t="s">
        <v>14</v>
      </c>
      <c r="Q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>
        <f>IFERROR($A$4*VLOOKUP(D2,'граммовки'!$A:$O,15,0),"Введите блюдо")</f>
        <v>0</v>
      </c>
      <c r="F10" s="103" t="str">
        <f>IFERROR(VLOOKUP(F2,'граммовки'!$A:$O,14,0),"Введите блюдо")</f>
        <v/>
      </c>
      <c r="G10" s="104">
        <f>IFERROR($A$4*VLOOKUP(F2,'граммовки'!$A:$O,15,0),"Введите блюдо")</f>
        <v>0</v>
      </c>
      <c r="H10" s="103" t="str">
        <f>IFERROR(VLOOKUP(H2,'граммовки'!$A:$O,14,0),"Введите блюдо")</f>
        <v/>
      </c>
      <c r="I10" s="104">
        <f>IFERROR($A$4*VLOOKUP(H2,'граммовки'!$A:$O,15,0),"Введите блюдо")</f>
        <v>0</v>
      </c>
      <c r="J10" s="103" t="str">
        <f>IFERROR(VLOOKUP(J2,'граммовки'!$A:$O,14,0),"Введите блюдо")</f>
        <v/>
      </c>
      <c r="K10" s="104">
        <f>IFERROR($A$4*VLOOKUP(J2,'граммовки'!$A:$O,15,0),"Введите блюдо")</f>
        <v>0</v>
      </c>
      <c r="L10" s="103" t="str">
        <f>IFERROR(VLOOKUP(L2,'граммовки'!$A:$O,14,0),"Введите блюдо")</f>
        <v/>
      </c>
      <c r="M10" s="104">
        <f>IFERROR($A$4*VLOOKUP(L2,'граммовки'!$A:$O,15,0),"Введите блюдо")</f>
        <v>0</v>
      </c>
      <c r="N10" s="103" t="str">
        <f>IFERROR(VLOOKUP(N2,'граммовки'!$A:$O,14,0),"Введите блюдо")</f>
        <v/>
      </c>
      <c r="O10" s="104">
        <f>IFERROR($A$4*VLOOKUP(N2,'граммовки'!$A:$O,15,0),"Введите блюдо")</f>
        <v>0</v>
      </c>
      <c r="P10" s="107" t="s">
        <v>16</v>
      </c>
      <c r="Q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>
        <f>IFERROR($A$4*VLOOKUP(D2,'граммовки'!$A:$T,17,0),"Введите блюдо")</f>
        <v>0</v>
      </c>
      <c r="F11" s="107" t="str">
        <f>IFERROR(VLOOKUP(F2,'граммовки'!$A:$T,16,0),"Введите блюдо")</f>
        <v/>
      </c>
      <c r="G11" s="108">
        <f>IFERROR($A$4*VLOOKUP(F2,'граммовки'!$A:$T,17,0),"Введите блюдо")</f>
        <v>0</v>
      </c>
      <c r="H11" s="107" t="str">
        <f>IFERROR(VLOOKUP(H2,'граммовки'!$A:$T,16,0),"Введите блюдо")</f>
        <v/>
      </c>
      <c r="I11" s="108">
        <f>IFERROR($A$4*VLOOKUP(H2,'граммовки'!$A:$T,17,0),"Введите блюдо")</f>
        <v>0</v>
      </c>
      <c r="J11" s="107" t="str">
        <f>IFERROR(VLOOKUP(J2,'граммовки'!$A:$T,16,0),"Введите блюдо")</f>
        <v/>
      </c>
      <c r="K11" s="108">
        <f>IFERROR($A$4*VLOOKUP(J2,'граммовки'!$A:$T,17,0),"Введите блюдо")</f>
        <v>0</v>
      </c>
      <c r="L11" s="107" t="str">
        <f>IFERROR(VLOOKUP(L2,'граммовки'!$A:$T,16,0),"Введите блюдо")</f>
        <v/>
      </c>
      <c r="M11" s="108">
        <f>IFERROR($A$4*VLOOKUP(L2,'граммовки'!$A:$T,17,0),"Введите блюдо")</f>
        <v>0</v>
      </c>
      <c r="N11" s="107" t="str">
        <f>IFERROR(VLOOKUP(N2,'граммовки'!$A:$T,16,0),"Введите блюдо")</f>
        <v/>
      </c>
      <c r="O11" s="108">
        <f>IFERROR($A$4*VLOOKUP(N2,'граммовки'!$A:$T,17,0),"Введите блюдо")</f>
        <v>0</v>
      </c>
      <c r="P11" s="8"/>
      <c r="Q11" s="8"/>
    </row>
  </sheetData>
  <mergeCells count="15">
    <mergeCell ref="B1:C1"/>
    <mergeCell ref="B2:C2"/>
    <mergeCell ref="D2:E2"/>
    <mergeCell ref="F2:G2"/>
    <mergeCell ref="H2:I2"/>
    <mergeCell ref="J2:K2"/>
    <mergeCell ref="L2:M2"/>
    <mergeCell ref="N2:O2"/>
    <mergeCell ref="D1:E1"/>
    <mergeCell ref="F1:G1"/>
    <mergeCell ref="H1:I1"/>
    <mergeCell ref="J1:K1"/>
    <mergeCell ref="L1:M1"/>
    <mergeCell ref="N1:O1"/>
    <mergeCell ref="P1:Q1"/>
  </mergeCells>
  <dataValidations>
    <dataValidation type="list" allowBlank="1" showErrorMessage="1" sqref="B2 D2 F2 H2 J2 L2 N2">
      <formula1>'граммовки'!$A$2:$A$60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13"/>
  </cols>
  <sheetData>
    <row r="1">
      <c r="A1" s="89" t="s">
        <v>126</v>
      </c>
      <c r="B1" s="118" t="s">
        <v>132</v>
      </c>
      <c r="C1" s="91"/>
      <c r="D1" s="119" t="s">
        <v>133</v>
      </c>
      <c r="E1" s="91"/>
      <c r="F1" s="92" t="s">
        <v>128</v>
      </c>
      <c r="G1" s="91"/>
    </row>
    <row r="2">
      <c r="A2" s="121"/>
      <c r="B2" s="122" t="s">
        <v>97</v>
      </c>
      <c r="C2" s="95"/>
      <c r="D2" s="122" t="s">
        <v>124</v>
      </c>
      <c r="E2" s="95"/>
      <c r="F2" s="101" t="s">
        <v>129</v>
      </c>
      <c r="G2" s="102" t="s">
        <v>130</v>
      </c>
    </row>
    <row r="3">
      <c r="A3" s="123"/>
      <c r="B3" s="101" t="s">
        <v>129</v>
      </c>
      <c r="C3" s="102" t="s">
        <v>131</v>
      </c>
      <c r="D3" s="101" t="s">
        <v>129</v>
      </c>
      <c r="E3" s="102" t="s">
        <v>131</v>
      </c>
      <c r="F3" s="103" t="s">
        <v>7</v>
      </c>
      <c r="G3" s="104">
        <v>130.0</v>
      </c>
    </row>
    <row r="4">
      <c r="A4" s="124"/>
      <c r="B4" s="106" t="str">
        <f>IFERROR(VLOOKUP(B2,'граммовки'!$A:$O,2,0),"Введите блюдо")</f>
        <v>Овсяная крупа</v>
      </c>
      <c r="C4" s="104">
        <f>IFERROR($A$4*VLOOKUP(B2,'граммовки'!$A:$O,3,0),"Введите блюдо")</f>
        <v>0</v>
      </c>
      <c r="D4" s="106" t="str">
        <f>IFERROR(VLOOKUP(D2,'граммовки'!$A:$O,2,0),"Введите блюдо")</f>
        <v>Доширак/ролтон</v>
      </c>
      <c r="E4" s="104">
        <f>IFERROR($A$4*VLOOKUP(D2,'граммовки'!$A:$O,3,0),"Введите блюдо")</f>
        <v>0</v>
      </c>
      <c r="F4" s="103" t="s">
        <v>9</v>
      </c>
      <c r="G4" s="104">
        <v>0.0</v>
      </c>
    </row>
    <row r="5">
      <c r="A5" s="8"/>
      <c r="B5" s="103" t="str">
        <f>IFERROR(VLOOKUP(B2,'граммовки'!$A:$O,4,0),"Введите блюдо")</f>
        <v>Джем</v>
      </c>
      <c r="C5" s="104">
        <f>IFERROR($A$4*VLOOKUP(B2,'граммовки'!$A:$O,5,0),"Введите блюдо")</f>
        <v>0</v>
      </c>
      <c r="D5" s="103" t="str">
        <f>IFERROR(VLOOKUP(D2,'граммовки'!$A:$O,4,0),"Введите блюдо")</f>
        <v>Сосиски</v>
      </c>
      <c r="E5" s="104">
        <f>IFERROR($A$4*VLOOKUP(D2,'граммовки'!$A:$O,5,0),"Введите блюдо")</f>
        <v>0</v>
      </c>
      <c r="F5" s="103" t="s">
        <v>10</v>
      </c>
      <c r="G5" s="104">
        <v>100.0</v>
      </c>
    </row>
    <row r="6">
      <c r="A6" s="8"/>
      <c r="B6" s="103" t="str">
        <f>IFERROR(VLOOKUP(B2,'граммовки'!$A:$O,6,0),"Введите блюдо")</f>
        <v>Молоко</v>
      </c>
      <c r="C6" s="104">
        <f>IFERROR($A$4*VLOOKUP(B2,'граммовки'!$A:$O,7,0),"Введите блюдо")</f>
        <v>0</v>
      </c>
      <c r="D6" s="103" t="str">
        <f>IFERROR(VLOOKUP(D2,'граммовки'!$A:$O,6,0),"Введите блюдо")</f>
        <v/>
      </c>
      <c r="E6" s="104">
        <f>IFERROR($A$4*VLOOKUP(D2,'граммовки'!$A:$O,7,0),"Введите блюдо")</f>
        <v>0</v>
      </c>
      <c r="F6" s="103" t="s">
        <v>11</v>
      </c>
      <c r="G6" s="104">
        <v>500.0</v>
      </c>
    </row>
    <row r="7">
      <c r="A7" s="8"/>
      <c r="B7" s="103" t="str">
        <f>IFERROR(VLOOKUP(B2,'граммовки'!$A:$O,8,0),"Введите блюдо")</f>
        <v/>
      </c>
      <c r="C7" s="104">
        <f>IFERROR($A$4*VLOOKUP(B2,'граммовки'!$A:$O,9,0),"Введите блюдо")</f>
        <v>0</v>
      </c>
      <c r="D7" s="103" t="str">
        <f>IFERROR(VLOOKUP(D2,'граммовки'!$A:$O,8,0),"Введите блюдо")</f>
        <v/>
      </c>
      <c r="E7" s="104">
        <f>IFERROR($A$4*VLOOKUP(D2,'граммовки'!$A:$O,9,0),"Введите блюдо")</f>
        <v>0</v>
      </c>
      <c r="F7" s="103" t="s">
        <v>12</v>
      </c>
      <c r="G7" s="104">
        <v>20.0</v>
      </c>
    </row>
    <row r="8">
      <c r="A8" s="8"/>
      <c r="B8" s="103" t="str">
        <f>IFERROR(VLOOKUP(B2,'граммовки'!$A:$O,10,0),"Введите блюдо")</f>
        <v/>
      </c>
      <c r="C8" s="104">
        <f>IFERROR($A$4*VLOOKUP(B2,'граммовки'!$A:$O,11,0),"Введите блюдо")</f>
        <v>0</v>
      </c>
      <c r="D8" s="103" t="str">
        <f>IFERROR(VLOOKUP(D2,'граммовки'!$A:$O,10,0),"Введите блюдо")</f>
        <v/>
      </c>
      <c r="E8" s="104">
        <f>IFERROR($A$4*VLOOKUP(D2,'граммовки'!$A:$O,11,0),"Введите блюдо")</f>
        <v>0</v>
      </c>
      <c r="F8" s="103" t="s">
        <v>13</v>
      </c>
      <c r="G8" s="104">
        <v>20.0</v>
      </c>
    </row>
    <row r="9">
      <c r="A9" s="8"/>
      <c r="B9" s="103" t="str">
        <f>IFERROR(VLOOKUP(B2,'граммовки'!$A:$O,12,0),"Введите блюдо")</f>
        <v/>
      </c>
      <c r="C9" s="104">
        <f>IFERROR($A$4*VLOOKUP(B2,'граммовки'!$A:$O,13,0),"Введите блюдо")</f>
        <v>0</v>
      </c>
      <c r="D9" s="103" t="str">
        <f>IFERROR(VLOOKUP(D2,'граммовки'!$A:$O,12,0),"Введите блюдо")</f>
        <v/>
      </c>
      <c r="E9" s="104">
        <f>IFERROR($A$4*VLOOKUP(D2,'граммовки'!$A:$O,13,0),"Введите блюдо")</f>
        <v>0</v>
      </c>
      <c r="F9" s="103" t="s">
        <v>14</v>
      </c>
      <c r="G9" s="104">
        <v>2400.0</v>
      </c>
    </row>
    <row r="10">
      <c r="A10" s="8"/>
      <c r="B10" s="103" t="str">
        <f>IFERROR(VLOOKUP(B2,'граммовки'!$A:$O,14,0),"Введите блюдо")</f>
        <v/>
      </c>
      <c r="C10" s="104">
        <f>IFERROR($A$4*VLOOKUP(B2,'граммовки'!$A:$O,15,0),"Введите блюдо")</f>
        <v>0</v>
      </c>
      <c r="D10" s="103" t="str">
        <f>IFERROR(VLOOKUP(D2,'граммовки'!$A:$O,14,0),"Введите блюдо")</f>
        <v/>
      </c>
      <c r="E10" s="104">
        <f>IFERROR($A$4*VLOOKUP(D2,'граммовки'!$A:$O,15,0),"Введите блюдо")</f>
        <v>0</v>
      </c>
      <c r="F10" s="107" t="s">
        <v>16</v>
      </c>
      <c r="G10" s="108">
        <v>120.0</v>
      </c>
    </row>
    <row r="11">
      <c r="A11" s="8"/>
      <c r="B11" s="107" t="str">
        <f>IFERROR(VLOOKUP(B2,'граммовки'!$A:$T,16,0),"Введите блюдо")</f>
        <v/>
      </c>
      <c r="C11" s="108">
        <f>IFERROR($A$4*VLOOKUP(B2,'граммовки'!$A:$T,17,0),"Введите блюдо")</f>
        <v>0</v>
      </c>
      <c r="D11" s="107" t="str">
        <f>IFERROR(VLOOKUP(D2,'граммовки'!$A:$T,16,0),"Введите блюдо")</f>
        <v/>
      </c>
      <c r="E11" s="108">
        <f>IFERROR($A$4*VLOOKUP(D2,'граммовки'!$A:$T,17,0),"Введите блюдо")</f>
        <v>0</v>
      </c>
      <c r="F11" s="8"/>
      <c r="G11" s="8"/>
    </row>
  </sheetData>
  <mergeCells count="5">
    <mergeCell ref="B1:C1"/>
    <mergeCell ref="D1:E1"/>
    <mergeCell ref="F1:G1"/>
    <mergeCell ref="B2:C2"/>
    <mergeCell ref="D2:E2"/>
  </mergeCells>
  <dataValidations>
    <dataValidation type="list" allowBlank="1" showErrorMessage="1" sqref="B2 D2">
      <formula1>'граммовки'!$A$2:$A$60</formula1>
    </dataValidation>
  </dataValidations>
  <drawing r:id="rId1"/>
</worksheet>
</file>